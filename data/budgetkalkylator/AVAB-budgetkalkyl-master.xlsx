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\Documents\AVAB\my-astro-project\data\budgetkalkylator\"/>
    </mc:Choice>
  </mc:AlternateContent>
  <xr:revisionPtr revIDLastSave="0" documentId="13_ncr:1_{CA5E0F7E-E8B4-46D3-8226-4A9DB20578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rt" sheetId="1" r:id="rId1"/>
    <sheet name="Inställningar" sheetId="2" r:id="rId2"/>
    <sheet name="Sporthall" sheetId="3" r:id="rId3"/>
    <sheet name="Simhall" sheetId="4" r:id="rId4"/>
    <sheet name="Konferens" sheetId="5" r:id="rId5"/>
    <sheet name="Restaurang" sheetId="6" r:id="rId6"/>
    <sheet name="Gym" sheetId="7" r:id="rId7"/>
    <sheet name="Webbexpor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1" i="8" l="1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J63" i="8"/>
  <c r="I63" i="8"/>
  <c r="F63" i="8"/>
  <c r="E63" i="8"/>
  <c r="D63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C126" i="7"/>
  <c r="Z126" i="7"/>
  <c r="Y126" i="7"/>
  <c r="AA126" i="7" s="1"/>
  <c r="W126" i="7"/>
  <c r="AD126" i="7" s="1"/>
  <c r="AC125" i="7"/>
  <c r="Z125" i="7"/>
  <c r="Y125" i="7"/>
  <c r="AA125" i="7" s="1"/>
  <c r="W125" i="7"/>
  <c r="AD125" i="7" s="1"/>
  <c r="AC124" i="7"/>
  <c r="Z124" i="7"/>
  <c r="Y124" i="7"/>
  <c r="AA124" i="7" s="1"/>
  <c r="W124" i="7"/>
  <c r="AD124" i="7" s="1"/>
  <c r="AC123" i="7"/>
  <c r="Z123" i="7"/>
  <c r="Y123" i="7"/>
  <c r="AA123" i="7" s="1"/>
  <c r="W123" i="7"/>
  <c r="AD123" i="7" s="1"/>
  <c r="AC122" i="7"/>
  <c r="Z122" i="7"/>
  <c r="Y122" i="7"/>
  <c r="AA122" i="7" s="1"/>
  <c r="W122" i="7"/>
  <c r="AD122" i="7" s="1"/>
  <c r="AC121" i="7"/>
  <c r="Z121" i="7"/>
  <c r="Y121" i="7"/>
  <c r="AA121" i="7" s="1"/>
  <c r="W121" i="7"/>
  <c r="AC120" i="7"/>
  <c r="Z120" i="7"/>
  <c r="Y120" i="7"/>
  <c r="AA120" i="7" s="1"/>
  <c r="W120" i="7"/>
  <c r="AD120" i="7" s="1"/>
  <c r="AC119" i="7"/>
  <c r="Z119" i="7"/>
  <c r="Y119" i="7"/>
  <c r="AA119" i="7" s="1"/>
  <c r="W119" i="7"/>
  <c r="AD119" i="7" s="1"/>
  <c r="AC118" i="7"/>
  <c r="Z118" i="7"/>
  <c r="Y118" i="7"/>
  <c r="AA118" i="7" s="1"/>
  <c r="W118" i="7"/>
  <c r="AD118" i="7" s="1"/>
  <c r="AC117" i="7"/>
  <c r="Z117" i="7"/>
  <c r="Y117" i="7"/>
  <c r="AA117" i="7" s="1"/>
  <c r="W117" i="7"/>
  <c r="AD117" i="7" s="1"/>
  <c r="AC116" i="7"/>
  <c r="Z116" i="7"/>
  <c r="Y116" i="7"/>
  <c r="AA116" i="7" s="1"/>
  <c r="W116" i="7"/>
  <c r="AD116" i="7" s="1"/>
  <c r="AC115" i="7"/>
  <c r="Z115" i="7"/>
  <c r="Y115" i="7"/>
  <c r="AA115" i="7" s="1"/>
  <c r="W115" i="7"/>
  <c r="AD115" i="7" s="1"/>
  <c r="AC114" i="7"/>
  <c r="Z114" i="7"/>
  <c r="Y114" i="7"/>
  <c r="AA114" i="7" s="1"/>
  <c r="W114" i="7"/>
  <c r="AD114" i="7" s="1"/>
  <c r="AC113" i="7"/>
  <c r="Z113" i="7"/>
  <c r="Y113" i="7"/>
  <c r="AA113" i="7" s="1"/>
  <c r="W113" i="7"/>
  <c r="AD113" i="7" s="1"/>
  <c r="AC112" i="7"/>
  <c r="Z112" i="7"/>
  <c r="Y112" i="7"/>
  <c r="AA112" i="7" s="1"/>
  <c r="W112" i="7"/>
  <c r="AD112" i="7" s="1"/>
  <c r="AC111" i="7"/>
  <c r="Z111" i="7"/>
  <c r="Y111" i="7"/>
  <c r="AA111" i="7" s="1"/>
  <c r="W111" i="7"/>
  <c r="AC110" i="7"/>
  <c r="Z110" i="7"/>
  <c r="Y110" i="7"/>
  <c r="AA110" i="7" s="1"/>
  <c r="W110" i="7"/>
  <c r="AD110" i="7" s="1"/>
  <c r="AC109" i="7"/>
  <c r="Z109" i="7"/>
  <c r="Y109" i="7"/>
  <c r="AA109" i="7" s="1"/>
  <c r="W109" i="7"/>
  <c r="AC108" i="7"/>
  <c r="Z108" i="7"/>
  <c r="Y108" i="7"/>
  <c r="AA108" i="7" s="1"/>
  <c r="W108" i="7"/>
  <c r="AD108" i="7" s="1"/>
  <c r="AC107" i="7"/>
  <c r="Z107" i="7"/>
  <c r="Y107" i="7"/>
  <c r="AA107" i="7" s="1"/>
  <c r="W107" i="7"/>
  <c r="AD107" i="7" s="1"/>
  <c r="AC106" i="7"/>
  <c r="Z106" i="7"/>
  <c r="Y106" i="7"/>
  <c r="AA106" i="7" s="1"/>
  <c r="W106" i="7"/>
  <c r="AD106" i="7" s="1"/>
  <c r="AC105" i="7"/>
  <c r="Z105" i="7"/>
  <c r="Y105" i="7"/>
  <c r="AA105" i="7" s="1"/>
  <c r="W105" i="7"/>
  <c r="AC104" i="7"/>
  <c r="Z104" i="7"/>
  <c r="Y104" i="7"/>
  <c r="AA104" i="7" s="1"/>
  <c r="W104" i="7"/>
  <c r="AD104" i="7" s="1"/>
  <c r="AC103" i="7"/>
  <c r="Z103" i="7"/>
  <c r="Y103" i="7"/>
  <c r="AA103" i="7" s="1"/>
  <c r="W103" i="7"/>
  <c r="AC102" i="7"/>
  <c r="Z102" i="7"/>
  <c r="Y102" i="7"/>
  <c r="AA102" i="7" s="1"/>
  <c r="W102" i="7"/>
  <c r="AC101" i="7"/>
  <c r="Z101" i="7"/>
  <c r="Y101" i="7"/>
  <c r="AA101" i="7" s="1"/>
  <c r="W101" i="7"/>
  <c r="AC100" i="7"/>
  <c r="Z100" i="7"/>
  <c r="Y100" i="7"/>
  <c r="AA100" i="7" s="1"/>
  <c r="W100" i="7"/>
  <c r="AC99" i="7"/>
  <c r="Z99" i="7"/>
  <c r="Y99" i="7"/>
  <c r="AA99" i="7" s="1"/>
  <c r="W99" i="7"/>
  <c r="AD99" i="7" s="1"/>
  <c r="AC98" i="7"/>
  <c r="Z98" i="7"/>
  <c r="Y98" i="7"/>
  <c r="AA98" i="7" s="1"/>
  <c r="W98" i="7"/>
  <c r="AD98" i="7" s="1"/>
  <c r="AC97" i="7"/>
  <c r="Z97" i="7"/>
  <c r="Y97" i="7"/>
  <c r="AA97" i="7" s="1"/>
  <c r="W97" i="7"/>
  <c r="AD97" i="7" s="1"/>
  <c r="AC96" i="7"/>
  <c r="Z96" i="7"/>
  <c r="Y96" i="7"/>
  <c r="AA96" i="7" s="1"/>
  <c r="W96" i="7"/>
  <c r="AC95" i="7"/>
  <c r="Z95" i="7"/>
  <c r="Y95" i="7"/>
  <c r="AA95" i="7" s="1"/>
  <c r="W95" i="7"/>
  <c r="AD95" i="7" s="1"/>
  <c r="AC94" i="7"/>
  <c r="Z94" i="7"/>
  <c r="Y94" i="7"/>
  <c r="AA94" i="7" s="1"/>
  <c r="W94" i="7"/>
  <c r="AD94" i="7" s="1"/>
  <c r="AC93" i="7"/>
  <c r="Z93" i="7"/>
  <c r="Y93" i="7"/>
  <c r="AA93" i="7" s="1"/>
  <c r="W93" i="7"/>
  <c r="AD93" i="7" s="1"/>
  <c r="AC92" i="7"/>
  <c r="Z92" i="7"/>
  <c r="Y92" i="7"/>
  <c r="AA92" i="7" s="1"/>
  <c r="W92" i="7"/>
  <c r="AD92" i="7" s="1"/>
  <c r="AC91" i="7"/>
  <c r="Z91" i="7"/>
  <c r="Y91" i="7"/>
  <c r="AA91" i="7" s="1"/>
  <c r="W91" i="7"/>
  <c r="AD91" i="7" s="1"/>
  <c r="AC90" i="7"/>
  <c r="Z90" i="7"/>
  <c r="Y90" i="7"/>
  <c r="AA90" i="7" s="1"/>
  <c r="W90" i="7"/>
  <c r="AD90" i="7" s="1"/>
  <c r="AC89" i="7"/>
  <c r="Z89" i="7"/>
  <c r="Y89" i="7"/>
  <c r="AA89" i="7" s="1"/>
  <c r="W89" i="7"/>
  <c r="AC88" i="7"/>
  <c r="Z88" i="7"/>
  <c r="Y88" i="7"/>
  <c r="AA88" i="7" s="1"/>
  <c r="W88" i="7"/>
  <c r="AC87" i="7"/>
  <c r="Z87" i="7"/>
  <c r="Y87" i="7"/>
  <c r="AA87" i="7" s="1"/>
  <c r="W87" i="7"/>
  <c r="AD87" i="7" s="1"/>
  <c r="AC86" i="7"/>
  <c r="Z86" i="7"/>
  <c r="Y86" i="7"/>
  <c r="AA86" i="7" s="1"/>
  <c r="W86" i="7"/>
  <c r="AC85" i="7"/>
  <c r="Z85" i="7"/>
  <c r="Y85" i="7"/>
  <c r="AA85" i="7" s="1"/>
  <c r="W85" i="7"/>
  <c r="AC84" i="7"/>
  <c r="Z84" i="7"/>
  <c r="Y84" i="7"/>
  <c r="AA84" i="7" s="1"/>
  <c r="W84" i="7"/>
  <c r="AC83" i="7"/>
  <c r="Z83" i="7"/>
  <c r="Y83" i="7"/>
  <c r="AA83" i="7" s="1"/>
  <c r="W83" i="7"/>
  <c r="AD83" i="7" s="1"/>
  <c r="AC82" i="7"/>
  <c r="Z82" i="7"/>
  <c r="Y82" i="7"/>
  <c r="AA82" i="7" s="1"/>
  <c r="W82" i="7"/>
  <c r="AD82" i="7" s="1"/>
  <c r="AC81" i="7"/>
  <c r="Z81" i="7"/>
  <c r="Y81" i="7"/>
  <c r="AA81" i="7" s="1"/>
  <c r="W81" i="7"/>
  <c r="AD81" i="7" s="1"/>
  <c r="AC80" i="7"/>
  <c r="Z80" i="7"/>
  <c r="Y80" i="7"/>
  <c r="AA80" i="7" s="1"/>
  <c r="AD80" i="7" s="1"/>
  <c r="W80" i="7"/>
  <c r="AC79" i="7"/>
  <c r="Z79" i="7"/>
  <c r="Y79" i="7"/>
  <c r="AA79" i="7" s="1"/>
  <c r="W79" i="7"/>
  <c r="AD79" i="7" s="1"/>
  <c r="AC78" i="7"/>
  <c r="Z78" i="7"/>
  <c r="Y78" i="7"/>
  <c r="AA78" i="7" s="1"/>
  <c r="W78" i="7"/>
  <c r="AD78" i="7" s="1"/>
  <c r="AC77" i="7"/>
  <c r="Z77" i="7"/>
  <c r="Y77" i="7"/>
  <c r="AA77" i="7" s="1"/>
  <c r="W77" i="7"/>
  <c r="AD77" i="7" s="1"/>
  <c r="AC76" i="7"/>
  <c r="Z76" i="7"/>
  <c r="Y76" i="7"/>
  <c r="AA76" i="7" s="1"/>
  <c r="W76" i="7"/>
  <c r="AD76" i="7" s="1"/>
  <c r="AC75" i="7"/>
  <c r="Z75" i="7"/>
  <c r="Y75" i="7"/>
  <c r="AA75" i="7" s="1"/>
  <c r="W75" i="7"/>
  <c r="AD75" i="7" s="1"/>
  <c r="AC74" i="7"/>
  <c r="Z74" i="7"/>
  <c r="Y74" i="7"/>
  <c r="AA74" i="7" s="1"/>
  <c r="W74" i="7"/>
  <c r="AD74" i="7" s="1"/>
  <c r="AC73" i="7"/>
  <c r="Z73" i="7"/>
  <c r="Y73" i="7"/>
  <c r="AA73" i="7" s="1"/>
  <c r="W73" i="7"/>
  <c r="AC72" i="7"/>
  <c r="Z72" i="7"/>
  <c r="Y72" i="7"/>
  <c r="AA72" i="7" s="1"/>
  <c r="W72" i="7"/>
  <c r="AD72" i="7" s="1"/>
  <c r="AC71" i="7"/>
  <c r="Z71" i="7"/>
  <c r="Y71" i="7"/>
  <c r="AA71" i="7" s="1"/>
  <c r="W71" i="7"/>
  <c r="AC70" i="7"/>
  <c r="Z70" i="7"/>
  <c r="Y70" i="7"/>
  <c r="AA70" i="7" s="1"/>
  <c r="W70" i="7"/>
  <c r="AD70" i="7" s="1"/>
  <c r="AC69" i="7"/>
  <c r="Z69" i="7"/>
  <c r="Y69" i="7"/>
  <c r="AA69" i="7" s="1"/>
  <c r="W69" i="7"/>
  <c r="AC68" i="7"/>
  <c r="Z68" i="7"/>
  <c r="Y68" i="7"/>
  <c r="AA68" i="7" s="1"/>
  <c r="W68" i="7"/>
  <c r="AD68" i="7" s="1"/>
  <c r="AC67" i="7"/>
  <c r="Z67" i="7"/>
  <c r="Y67" i="7"/>
  <c r="AA67" i="7" s="1"/>
  <c r="W67" i="7"/>
  <c r="AD67" i="7" s="1"/>
  <c r="AC66" i="7"/>
  <c r="Z66" i="7"/>
  <c r="Y66" i="7"/>
  <c r="AA66" i="7" s="1"/>
  <c r="W66" i="7"/>
  <c r="AD66" i="7" s="1"/>
  <c r="AC65" i="7"/>
  <c r="Z65" i="7"/>
  <c r="Y65" i="7"/>
  <c r="AA65" i="7" s="1"/>
  <c r="W65" i="7"/>
  <c r="AD65" i="7" s="1"/>
  <c r="AC64" i="7"/>
  <c r="Z64" i="7"/>
  <c r="Y64" i="7"/>
  <c r="AA64" i="7" s="1"/>
  <c r="W64" i="7"/>
  <c r="AC63" i="7"/>
  <c r="Z63" i="7"/>
  <c r="Y63" i="7"/>
  <c r="AA63" i="7" s="1"/>
  <c r="W63" i="7"/>
  <c r="AD63" i="7" s="1"/>
  <c r="AC62" i="7"/>
  <c r="Z62" i="7"/>
  <c r="Y62" i="7"/>
  <c r="AA62" i="7" s="1"/>
  <c r="W62" i="7"/>
  <c r="AD62" i="7" s="1"/>
  <c r="AC61" i="7"/>
  <c r="Z61" i="7"/>
  <c r="Y61" i="7"/>
  <c r="AA61" i="7" s="1"/>
  <c r="W61" i="7"/>
  <c r="AD61" i="7" s="1"/>
  <c r="AC60" i="7"/>
  <c r="Z60" i="7"/>
  <c r="Y60" i="7"/>
  <c r="AA60" i="7" s="1"/>
  <c r="W60" i="7"/>
  <c r="AD60" i="7" s="1"/>
  <c r="AC59" i="7"/>
  <c r="Z59" i="7"/>
  <c r="Y59" i="7"/>
  <c r="AA59" i="7" s="1"/>
  <c r="W59" i="7"/>
  <c r="AD59" i="7" s="1"/>
  <c r="AC58" i="7"/>
  <c r="Z58" i="7"/>
  <c r="Y58" i="7"/>
  <c r="AA58" i="7" s="1"/>
  <c r="W58" i="7"/>
  <c r="AD58" i="7" s="1"/>
  <c r="AC57" i="7"/>
  <c r="Z57" i="7"/>
  <c r="Y57" i="7"/>
  <c r="AA57" i="7" s="1"/>
  <c r="W57" i="7"/>
  <c r="AD57" i="7" s="1"/>
  <c r="AC56" i="7"/>
  <c r="Z56" i="7"/>
  <c r="Y56" i="7"/>
  <c r="AA56" i="7" s="1"/>
  <c r="W56" i="7"/>
  <c r="AD56" i="7" s="1"/>
  <c r="AC55" i="7"/>
  <c r="Z55" i="7"/>
  <c r="Y55" i="7"/>
  <c r="AA55" i="7" s="1"/>
  <c r="W55" i="7"/>
  <c r="AC54" i="7"/>
  <c r="Z54" i="7"/>
  <c r="Y54" i="7"/>
  <c r="AA54" i="7" s="1"/>
  <c r="W54" i="7"/>
  <c r="AD54" i="7" s="1"/>
  <c r="AC53" i="7"/>
  <c r="Z53" i="7"/>
  <c r="Y53" i="7"/>
  <c r="AA53" i="7" s="1"/>
  <c r="W53" i="7"/>
  <c r="AC52" i="7"/>
  <c r="Z52" i="7"/>
  <c r="Y52" i="7"/>
  <c r="AA52" i="7" s="1"/>
  <c r="W52" i="7"/>
  <c r="AD52" i="7" s="1"/>
  <c r="AC51" i="7"/>
  <c r="Z51" i="7"/>
  <c r="Y51" i="7"/>
  <c r="AA51" i="7" s="1"/>
  <c r="W51" i="7"/>
  <c r="AD51" i="7" s="1"/>
  <c r="N51" i="7"/>
  <c r="M51" i="7"/>
  <c r="L51" i="7"/>
  <c r="K51" i="7"/>
  <c r="AC50" i="7"/>
  <c r="Z50" i="7"/>
  <c r="Y50" i="7"/>
  <c r="AA50" i="7" s="1"/>
  <c r="W50" i="7"/>
  <c r="AD50" i="7" s="1"/>
  <c r="N50" i="7"/>
  <c r="M50" i="7"/>
  <c r="L50" i="7"/>
  <c r="K50" i="7"/>
  <c r="AC49" i="7"/>
  <c r="Z49" i="7"/>
  <c r="Y49" i="7"/>
  <c r="AA49" i="7" s="1"/>
  <c r="W49" i="7"/>
  <c r="N49" i="7"/>
  <c r="M49" i="7"/>
  <c r="L49" i="7"/>
  <c r="K49" i="7"/>
  <c r="AC48" i="7"/>
  <c r="Z48" i="7"/>
  <c r="Y48" i="7"/>
  <c r="AA48" i="7" s="1"/>
  <c r="W48" i="7"/>
  <c r="N48" i="7"/>
  <c r="M48" i="7"/>
  <c r="L48" i="7"/>
  <c r="K48" i="7"/>
  <c r="AC47" i="7"/>
  <c r="Z47" i="7"/>
  <c r="Y47" i="7"/>
  <c r="AA47" i="7" s="1"/>
  <c r="W47" i="7"/>
  <c r="N47" i="7"/>
  <c r="M47" i="7"/>
  <c r="L47" i="7"/>
  <c r="K47" i="7"/>
  <c r="AC46" i="7"/>
  <c r="Z46" i="7"/>
  <c r="Y46" i="7"/>
  <c r="AA46" i="7" s="1"/>
  <c r="W46" i="7"/>
  <c r="N46" i="7"/>
  <c r="M46" i="7"/>
  <c r="L46" i="7"/>
  <c r="K46" i="7"/>
  <c r="AC45" i="7"/>
  <c r="Z45" i="7"/>
  <c r="Y45" i="7"/>
  <c r="AA45" i="7" s="1"/>
  <c r="W45" i="7"/>
  <c r="AD45" i="7" s="1"/>
  <c r="N45" i="7"/>
  <c r="M45" i="7"/>
  <c r="L45" i="7"/>
  <c r="K45" i="7"/>
  <c r="AC44" i="7"/>
  <c r="Z44" i="7"/>
  <c r="Y44" i="7"/>
  <c r="AA44" i="7" s="1"/>
  <c r="W44" i="7"/>
  <c r="AD44" i="7" s="1"/>
  <c r="N44" i="7"/>
  <c r="M44" i="7"/>
  <c r="L44" i="7"/>
  <c r="K44" i="7"/>
  <c r="AC43" i="7"/>
  <c r="Z43" i="7"/>
  <c r="Y43" i="7"/>
  <c r="AA43" i="7" s="1"/>
  <c r="W43" i="7"/>
  <c r="N43" i="7"/>
  <c r="M43" i="7"/>
  <c r="L43" i="7"/>
  <c r="K43" i="7"/>
  <c r="AC42" i="7"/>
  <c r="Z42" i="7"/>
  <c r="Y42" i="7"/>
  <c r="AA42" i="7" s="1"/>
  <c r="W42" i="7"/>
  <c r="N42" i="7"/>
  <c r="M42" i="7"/>
  <c r="L42" i="7"/>
  <c r="K42" i="7"/>
  <c r="AC41" i="7"/>
  <c r="Z41" i="7"/>
  <c r="Y41" i="7"/>
  <c r="AA41" i="7" s="1"/>
  <c r="W41" i="7"/>
  <c r="N41" i="7"/>
  <c r="M41" i="7"/>
  <c r="L41" i="7"/>
  <c r="K41" i="7"/>
  <c r="AC40" i="7"/>
  <c r="Z40" i="7"/>
  <c r="Y40" i="7"/>
  <c r="AA40" i="7" s="1"/>
  <c r="W40" i="7"/>
  <c r="AD40" i="7" s="1"/>
  <c r="N40" i="7"/>
  <c r="M40" i="7"/>
  <c r="L40" i="7"/>
  <c r="K40" i="7"/>
  <c r="AC39" i="7"/>
  <c r="Z39" i="7"/>
  <c r="Y39" i="7"/>
  <c r="AA39" i="7" s="1"/>
  <c r="W39" i="7"/>
  <c r="AD39" i="7" s="1"/>
  <c r="N39" i="7"/>
  <c r="M39" i="7"/>
  <c r="L39" i="7"/>
  <c r="K39" i="7"/>
  <c r="AC38" i="7"/>
  <c r="Z38" i="7"/>
  <c r="Y38" i="7"/>
  <c r="AA38" i="7" s="1"/>
  <c r="W38" i="7"/>
  <c r="AD38" i="7" s="1"/>
  <c r="N38" i="7"/>
  <c r="M38" i="7"/>
  <c r="L38" i="7"/>
  <c r="K38" i="7"/>
  <c r="AC37" i="7"/>
  <c r="Z37" i="7"/>
  <c r="Y37" i="7"/>
  <c r="AA37" i="7" s="1"/>
  <c r="W37" i="7"/>
  <c r="N37" i="7"/>
  <c r="M37" i="7"/>
  <c r="L37" i="7"/>
  <c r="K37" i="7"/>
  <c r="AC36" i="7"/>
  <c r="Z36" i="7"/>
  <c r="Y36" i="7"/>
  <c r="AA36" i="7" s="1"/>
  <c r="W36" i="7"/>
  <c r="N36" i="7"/>
  <c r="M36" i="7"/>
  <c r="L36" i="7"/>
  <c r="K36" i="7"/>
  <c r="AC35" i="7"/>
  <c r="Z35" i="7"/>
  <c r="Y35" i="7"/>
  <c r="AA35" i="7" s="1"/>
  <c r="W35" i="7"/>
  <c r="N35" i="7"/>
  <c r="M35" i="7"/>
  <c r="L35" i="7"/>
  <c r="K35" i="7"/>
  <c r="AC34" i="7"/>
  <c r="Z34" i="7"/>
  <c r="Y34" i="7"/>
  <c r="AA34" i="7" s="1"/>
  <c r="W34" i="7"/>
  <c r="AD34" i="7" s="1"/>
  <c r="N34" i="7"/>
  <c r="M34" i="7"/>
  <c r="L34" i="7"/>
  <c r="K34" i="7"/>
  <c r="AC33" i="7"/>
  <c r="Z33" i="7"/>
  <c r="Y33" i="7"/>
  <c r="AA33" i="7" s="1"/>
  <c r="W33" i="7"/>
  <c r="AD33" i="7" s="1"/>
  <c r="N33" i="7"/>
  <c r="M33" i="7"/>
  <c r="L33" i="7"/>
  <c r="K33" i="7"/>
  <c r="AC32" i="7"/>
  <c r="Z32" i="7"/>
  <c r="Y32" i="7"/>
  <c r="AA32" i="7" s="1"/>
  <c r="W32" i="7"/>
  <c r="AD32" i="7" s="1"/>
  <c r="N32" i="7"/>
  <c r="M32" i="7"/>
  <c r="L32" i="7"/>
  <c r="K32" i="7"/>
  <c r="AC31" i="7"/>
  <c r="Z31" i="7"/>
  <c r="Y31" i="7"/>
  <c r="AA31" i="7" s="1"/>
  <c r="W31" i="7"/>
  <c r="N31" i="7"/>
  <c r="M31" i="7"/>
  <c r="L31" i="7"/>
  <c r="K31" i="7"/>
  <c r="AC30" i="7"/>
  <c r="Z30" i="7"/>
  <c r="Y30" i="7"/>
  <c r="AA30" i="7" s="1"/>
  <c r="W30" i="7"/>
  <c r="AD30" i="7" s="1"/>
  <c r="N30" i="7"/>
  <c r="M30" i="7"/>
  <c r="L30" i="7"/>
  <c r="K30" i="7"/>
  <c r="AC29" i="7"/>
  <c r="Z29" i="7"/>
  <c r="Y29" i="7"/>
  <c r="AA29" i="7" s="1"/>
  <c r="W29" i="7"/>
  <c r="N29" i="7"/>
  <c r="M29" i="7"/>
  <c r="L29" i="7"/>
  <c r="K29" i="7"/>
  <c r="AC28" i="7"/>
  <c r="Z28" i="7"/>
  <c r="Y28" i="7"/>
  <c r="AA28" i="7" s="1"/>
  <c r="W28" i="7"/>
  <c r="N28" i="7"/>
  <c r="M28" i="7"/>
  <c r="L28" i="7"/>
  <c r="K28" i="7"/>
  <c r="AC27" i="7"/>
  <c r="Z27" i="7"/>
  <c r="Y27" i="7"/>
  <c r="AA27" i="7" s="1"/>
  <c r="W27" i="7"/>
  <c r="N27" i="7"/>
  <c r="M27" i="7"/>
  <c r="L27" i="7"/>
  <c r="K27" i="7"/>
  <c r="AC26" i="7"/>
  <c r="Z26" i="7"/>
  <c r="Y26" i="7"/>
  <c r="AA26" i="7" s="1"/>
  <c r="W26" i="7"/>
  <c r="AD26" i="7" s="1"/>
  <c r="N26" i="7"/>
  <c r="M26" i="7"/>
  <c r="L26" i="7"/>
  <c r="K26" i="7"/>
  <c r="AC25" i="7"/>
  <c r="Z25" i="7"/>
  <c r="Y25" i="7"/>
  <c r="AA25" i="7" s="1"/>
  <c r="W25" i="7"/>
  <c r="N25" i="7"/>
  <c r="M25" i="7"/>
  <c r="L25" i="7"/>
  <c r="K25" i="7"/>
  <c r="AC24" i="7"/>
  <c r="Z24" i="7"/>
  <c r="Y24" i="7"/>
  <c r="AA24" i="7" s="1"/>
  <c r="W24" i="7"/>
  <c r="AC23" i="7"/>
  <c r="Z23" i="7"/>
  <c r="Y23" i="7"/>
  <c r="W23" i="7"/>
  <c r="AC22" i="7"/>
  <c r="Z22" i="7"/>
  <c r="Y22" i="7"/>
  <c r="W22" i="7"/>
  <c r="AC21" i="7"/>
  <c r="Z21" i="7"/>
  <c r="Y21" i="7"/>
  <c r="W21" i="7"/>
  <c r="AC20" i="7"/>
  <c r="Z20" i="7"/>
  <c r="Y20" i="7"/>
  <c r="W20" i="7"/>
  <c r="AC19" i="7"/>
  <c r="Z19" i="7"/>
  <c r="Y19" i="7"/>
  <c r="W19" i="7"/>
  <c r="AC18" i="7"/>
  <c r="Z18" i="7"/>
  <c r="Y18" i="7"/>
  <c r="W18" i="7"/>
  <c r="AC17" i="7"/>
  <c r="Z17" i="7"/>
  <c r="Y17" i="7"/>
  <c r="W17" i="7"/>
  <c r="AC16" i="7"/>
  <c r="Z16" i="7"/>
  <c r="Y16" i="7"/>
  <c r="W16" i="7"/>
  <c r="AC15" i="7"/>
  <c r="Z15" i="7"/>
  <c r="Y15" i="7"/>
  <c r="W15" i="7"/>
  <c r="AC14" i="7"/>
  <c r="Z14" i="7"/>
  <c r="Y14" i="7"/>
  <c r="W14" i="7"/>
  <c r="AC13" i="7"/>
  <c r="Z13" i="7"/>
  <c r="Y13" i="7"/>
  <c r="W13" i="7"/>
  <c r="AC12" i="7"/>
  <c r="Z12" i="7"/>
  <c r="Y12" i="7"/>
  <c r="W12" i="7"/>
  <c r="AC11" i="7"/>
  <c r="Z11" i="7"/>
  <c r="Y11" i="7"/>
  <c r="W11" i="7"/>
  <c r="AC10" i="7"/>
  <c r="Z10" i="7"/>
  <c r="Y10" i="7"/>
  <c r="W10" i="7"/>
  <c r="AC9" i="7"/>
  <c r="Z9" i="7"/>
  <c r="Y9" i="7"/>
  <c r="W9" i="7"/>
  <c r="AC8" i="7"/>
  <c r="Z8" i="7"/>
  <c r="Y8" i="7"/>
  <c r="W8" i="7"/>
  <c r="AC7" i="7"/>
  <c r="Z7" i="7"/>
  <c r="Y7" i="7"/>
  <c r="W7" i="7"/>
  <c r="N7" i="7"/>
  <c r="M7" i="7"/>
  <c r="L7" i="7"/>
  <c r="K7" i="7"/>
  <c r="AC126" i="6"/>
  <c r="Z126" i="6"/>
  <c r="Y126" i="6"/>
  <c r="AA126" i="6" s="1"/>
  <c r="W126" i="6"/>
  <c r="AC125" i="6"/>
  <c r="Z125" i="6"/>
  <c r="Y125" i="6"/>
  <c r="AA125" i="6" s="1"/>
  <c r="W125" i="6"/>
  <c r="AD125" i="6" s="1"/>
  <c r="AC124" i="6"/>
  <c r="Z124" i="6"/>
  <c r="Y124" i="6"/>
  <c r="AA124" i="6" s="1"/>
  <c r="W124" i="6"/>
  <c r="AC123" i="6"/>
  <c r="Z123" i="6"/>
  <c r="Y123" i="6"/>
  <c r="AA123" i="6" s="1"/>
  <c r="W123" i="6"/>
  <c r="AD123" i="6" s="1"/>
  <c r="AC122" i="6"/>
  <c r="Z122" i="6"/>
  <c r="Y122" i="6"/>
  <c r="AA122" i="6" s="1"/>
  <c r="W122" i="6"/>
  <c r="AD122" i="6" s="1"/>
  <c r="AC121" i="6"/>
  <c r="Z121" i="6"/>
  <c r="Y121" i="6"/>
  <c r="AA121" i="6" s="1"/>
  <c r="W121" i="6"/>
  <c r="AD121" i="6" s="1"/>
  <c r="AC120" i="6"/>
  <c r="Z120" i="6"/>
  <c r="Y120" i="6"/>
  <c r="AA120" i="6" s="1"/>
  <c r="W120" i="6"/>
  <c r="AC119" i="6"/>
  <c r="Z119" i="6"/>
  <c r="Y119" i="6"/>
  <c r="AA119" i="6" s="1"/>
  <c r="W119" i="6"/>
  <c r="AD119" i="6" s="1"/>
  <c r="AC118" i="6"/>
  <c r="Z118" i="6"/>
  <c r="Y118" i="6"/>
  <c r="AA118" i="6" s="1"/>
  <c r="W118" i="6"/>
  <c r="AD118" i="6" s="1"/>
  <c r="AC117" i="6"/>
  <c r="Z117" i="6"/>
  <c r="Y117" i="6"/>
  <c r="AA117" i="6" s="1"/>
  <c r="W117" i="6"/>
  <c r="AD117" i="6" s="1"/>
  <c r="AC116" i="6"/>
  <c r="Z116" i="6"/>
  <c r="Y116" i="6"/>
  <c r="AA116" i="6" s="1"/>
  <c r="W116" i="6"/>
  <c r="AD116" i="6" s="1"/>
  <c r="AC115" i="6"/>
  <c r="Z115" i="6"/>
  <c r="Y115" i="6"/>
  <c r="AA115" i="6" s="1"/>
  <c r="W115" i="6"/>
  <c r="AD115" i="6" s="1"/>
  <c r="AC114" i="6"/>
  <c r="Z114" i="6"/>
  <c r="Y114" i="6"/>
  <c r="AA114" i="6" s="1"/>
  <c r="W114" i="6"/>
  <c r="AD114" i="6" s="1"/>
  <c r="AC113" i="6"/>
  <c r="Z113" i="6"/>
  <c r="Y113" i="6"/>
  <c r="AA113" i="6" s="1"/>
  <c r="W113" i="6"/>
  <c r="AD113" i="6" s="1"/>
  <c r="AC112" i="6"/>
  <c r="Z112" i="6"/>
  <c r="Y112" i="6"/>
  <c r="AA112" i="6" s="1"/>
  <c r="W112" i="6"/>
  <c r="AD112" i="6" s="1"/>
  <c r="AC111" i="6"/>
  <c r="Z111" i="6"/>
  <c r="Y111" i="6"/>
  <c r="AA111" i="6" s="1"/>
  <c r="W111" i="6"/>
  <c r="AD111" i="6" s="1"/>
  <c r="AC110" i="6"/>
  <c r="Z110" i="6"/>
  <c r="Y110" i="6"/>
  <c r="AA110" i="6" s="1"/>
  <c r="W110" i="6"/>
  <c r="AD110" i="6" s="1"/>
  <c r="AC109" i="6"/>
  <c r="Z109" i="6"/>
  <c r="Y109" i="6"/>
  <c r="AA109" i="6" s="1"/>
  <c r="W109" i="6"/>
  <c r="AD109" i="6" s="1"/>
  <c r="AC108" i="6"/>
  <c r="Z108" i="6"/>
  <c r="Y108" i="6"/>
  <c r="AA108" i="6" s="1"/>
  <c r="W108" i="6"/>
  <c r="AD108" i="6" s="1"/>
  <c r="AC107" i="6"/>
  <c r="Z107" i="6"/>
  <c r="Y107" i="6"/>
  <c r="AA107" i="6" s="1"/>
  <c r="W107" i="6"/>
  <c r="AD107" i="6" s="1"/>
  <c r="AC106" i="6"/>
  <c r="Z106" i="6"/>
  <c r="Y106" i="6"/>
  <c r="AA106" i="6" s="1"/>
  <c r="W106" i="6"/>
  <c r="AD106" i="6" s="1"/>
  <c r="AC105" i="6"/>
  <c r="Z105" i="6"/>
  <c r="Y105" i="6"/>
  <c r="AA105" i="6" s="1"/>
  <c r="W105" i="6"/>
  <c r="AD105" i="6" s="1"/>
  <c r="AC104" i="6"/>
  <c r="Z104" i="6"/>
  <c r="Y104" i="6"/>
  <c r="AA104" i="6" s="1"/>
  <c r="W104" i="6"/>
  <c r="AD104" i="6" s="1"/>
  <c r="AC103" i="6"/>
  <c r="Z103" i="6"/>
  <c r="Y103" i="6"/>
  <c r="AA103" i="6" s="1"/>
  <c r="W103" i="6"/>
  <c r="AD103" i="6" s="1"/>
  <c r="AC102" i="6"/>
  <c r="Z102" i="6"/>
  <c r="Y102" i="6"/>
  <c r="AA102" i="6" s="1"/>
  <c r="W102" i="6"/>
  <c r="AD102" i="6" s="1"/>
  <c r="AC101" i="6"/>
  <c r="Z101" i="6"/>
  <c r="Y101" i="6"/>
  <c r="AA101" i="6" s="1"/>
  <c r="W101" i="6"/>
  <c r="AD101" i="6" s="1"/>
  <c r="AC100" i="6"/>
  <c r="Z100" i="6"/>
  <c r="Y100" i="6"/>
  <c r="AA100" i="6" s="1"/>
  <c r="W100" i="6"/>
  <c r="AD100" i="6" s="1"/>
  <c r="AC99" i="6"/>
  <c r="Z99" i="6"/>
  <c r="Y99" i="6"/>
  <c r="AA99" i="6" s="1"/>
  <c r="W99" i="6"/>
  <c r="AD99" i="6" s="1"/>
  <c r="AC98" i="6"/>
  <c r="Z98" i="6"/>
  <c r="Y98" i="6"/>
  <c r="AA98" i="6" s="1"/>
  <c r="W98" i="6"/>
  <c r="AD98" i="6" s="1"/>
  <c r="AC97" i="6"/>
  <c r="Z97" i="6"/>
  <c r="Y97" i="6"/>
  <c r="AA97" i="6" s="1"/>
  <c r="W97" i="6"/>
  <c r="AD97" i="6" s="1"/>
  <c r="AC96" i="6"/>
  <c r="Z96" i="6"/>
  <c r="Y96" i="6"/>
  <c r="AA96" i="6" s="1"/>
  <c r="W96" i="6"/>
  <c r="AD96" i="6" s="1"/>
  <c r="AC95" i="6"/>
  <c r="Z95" i="6"/>
  <c r="Y95" i="6"/>
  <c r="AA95" i="6" s="1"/>
  <c r="W95" i="6"/>
  <c r="AD95" i="6" s="1"/>
  <c r="AC94" i="6"/>
  <c r="Z94" i="6"/>
  <c r="Y94" i="6"/>
  <c r="AA94" i="6" s="1"/>
  <c r="W94" i="6"/>
  <c r="AD94" i="6" s="1"/>
  <c r="AC93" i="6"/>
  <c r="Z93" i="6"/>
  <c r="Y93" i="6"/>
  <c r="AA93" i="6" s="1"/>
  <c r="W93" i="6"/>
  <c r="AD93" i="6" s="1"/>
  <c r="AC92" i="6"/>
  <c r="Z92" i="6"/>
  <c r="Y92" i="6"/>
  <c r="AA92" i="6" s="1"/>
  <c r="W92" i="6"/>
  <c r="AD92" i="6" s="1"/>
  <c r="AC91" i="6"/>
  <c r="Z91" i="6"/>
  <c r="Y91" i="6"/>
  <c r="AA91" i="6" s="1"/>
  <c r="W91" i="6"/>
  <c r="AD91" i="6" s="1"/>
  <c r="AC90" i="6"/>
  <c r="Z90" i="6"/>
  <c r="Y90" i="6"/>
  <c r="AA90" i="6" s="1"/>
  <c r="W90" i="6"/>
  <c r="AD90" i="6" s="1"/>
  <c r="AC89" i="6"/>
  <c r="AA89" i="6"/>
  <c r="AD89" i="6" s="1"/>
  <c r="Z89" i="6"/>
  <c r="Y89" i="6"/>
  <c r="W89" i="6"/>
  <c r="AC88" i="6"/>
  <c r="Z88" i="6"/>
  <c r="Y88" i="6"/>
  <c r="AA88" i="6" s="1"/>
  <c r="W88" i="6"/>
  <c r="AD88" i="6" s="1"/>
  <c r="AC87" i="6"/>
  <c r="Z87" i="6"/>
  <c r="Y87" i="6"/>
  <c r="AA87" i="6" s="1"/>
  <c r="W87" i="6"/>
  <c r="AD87" i="6" s="1"/>
  <c r="AC86" i="6"/>
  <c r="Z86" i="6"/>
  <c r="Y86" i="6"/>
  <c r="AA86" i="6" s="1"/>
  <c r="W86" i="6"/>
  <c r="AD86" i="6" s="1"/>
  <c r="AC85" i="6"/>
  <c r="Z85" i="6"/>
  <c r="Y85" i="6"/>
  <c r="AA85" i="6" s="1"/>
  <c r="W85" i="6"/>
  <c r="AD85" i="6" s="1"/>
  <c r="AC84" i="6"/>
  <c r="Z84" i="6"/>
  <c r="Y84" i="6"/>
  <c r="AA84" i="6" s="1"/>
  <c r="W84" i="6"/>
  <c r="AD84" i="6" s="1"/>
  <c r="AC83" i="6"/>
  <c r="Z83" i="6"/>
  <c r="Y83" i="6"/>
  <c r="AA83" i="6" s="1"/>
  <c r="W83" i="6"/>
  <c r="AD83" i="6" s="1"/>
  <c r="AC82" i="6"/>
  <c r="Z82" i="6"/>
  <c r="Y82" i="6"/>
  <c r="AA82" i="6" s="1"/>
  <c r="W82" i="6"/>
  <c r="AD82" i="6" s="1"/>
  <c r="AC81" i="6"/>
  <c r="Z81" i="6"/>
  <c r="Y81" i="6"/>
  <c r="AA81" i="6" s="1"/>
  <c r="W81" i="6"/>
  <c r="AD81" i="6" s="1"/>
  <c r="AC80" i="6"/>
  <c r="Z80" i="6"/>
  <c r="Y80" i="6"/>
  <c r="AA80" i="6" s="1"/>
  <c r="W80" i="6"/>
  <c r="AD80" i="6" s="1"/>
  <c r="AC79" i="6"/>
  <c r="Z79" i="6"/>
  <c r="Y79" i="6"/>
  <c r="AA79" i="6" s="1"/>
  <c r="W79" i="6"/>
  <c r="AD79" i="6" s="1"/>
  <c r="AC78" i="6"/>
  <c r="Z78" i="6"/>
  <c r="Y78" i="6"/>
  <c r="AA78" i="6" s="1"/>
  <c r="W78" i="6"/>
  <c r="AD78" i="6" s="1"/>
  <c r="AC77" i="6"/>
  <c r="Z77" i="6"/>
  <c r="Y77" i="6"/>
  <c r="AA77" i="6" s="1"/>
  <c r="W77" i="6"/>
  <c r="AD77" i="6" s="1"/>
  <c r="AC76" i="6"/>
  <c r="Z76" i="6"/>
  <c r="Y76" i="6"/>
  <c r="AA76" i="6" s="1"/>
  <c r="W76" i="6"/>
  <c r="AD76" i="6" s="1"/>
  <c r="AC75" i="6"/>
  <c r="Z75" i="6"/>
  <c r="Y75" i="6"/>
  <c r="AA75" i="6" s="1"/>
  <c r="W75" i="6"/>
  <c r="AD75" i="6" s="1"/>
  <c r="AC74" i="6"/>
  <c r="Z74" i="6"/>
  <c r="Y74" i="6"/>
  <c r="AA74" i="6" s="1"/>
  <c r="W74" i="6"/>
  <c r="AD74" i="6" s="1"/>
  <c r="AC73" i="6"/>
  <c r="Z73" i="6"/>
  <c r="Y73" i="6"/>
  <c r="AA73" i="6" s="1"/>
  <c r="W73" i="6"/>
  <c r="AD73" i="6" s="1"/>
  <c r="AC72" i="6"/>
  <c r="Z72" i="6"/>
  <c r="Y72" i="6"/>
  <c r="AA72" i="6" s="1"/>
  <c r="W72" i="6"/>
  <c r="AD72" i="6" s="1"/>
  <c r="AC71" i="6"/>
  <c r="Z71" i="6"/>
  <c r="Y71" i="6"/>
  <c r="AA71" i="6" s="1"/>
  <c r="W71" i="6"/>
  <c r="AD71" i="6" s="1"/>
  <c r="AC70" i="6"/>
  <c r="Z70" i="6"/>
  <c r="Y70" i="6"/>
  <c r="AA70" i="6" s="1"/>
  <c r="W70" i="6"/>
  <c r="AD70" i="6" s="1"/>
  <c r="AC69" i="6"/>
  <c r="Z69" i="6"/>
  <c r="Y69" i="6"/>
  <c r="AA69" i="6" s="1"/>
  <c r="W69" i="6"/>
  <c r="AD69" i="6" s="1"/>
  <c r="AC68" i="6"/>
  <c r="Z68" i="6"/>
  <c r="Y68" i="6"/>
  <c r="AA68" i="6" s="1"/>
  <c r="W68" i="6"/>
  <c r="AD68" i="6" s="1"/>
  <c r="AC67" i="6"/>
  <c r="Z67" i="6"/>
  <c r="Y67" i="6"/>
  <c r="AA67" i="6" s="1"/>
  <c r="W67" i="6"/>
  <c r="AD67" i="6" s="1"/>
  <c r="AC66" i="6"/>
  <c r="Z66" i="6"/>
  <c r="Y66" i="6"/>
  <c r="AA66" i="6" s="1"/>
  <c r="W66" i="6"/>
  <c r="AD66" i="6" s="1"/>
  <c r="AC65" i="6"/>
  <c r="Z65" i="6"/>
  <c r="Y65" i="6"/>
  <c r="AA65" i="6" s="1"/>
  <c r="W65" i="6"/>
  <c r="AD65" i="6" s="1"/>
  <c r="AC64" i="6"/>
  <c r="Z64" i="6"/>
  <c r="Y64" i="6"/>
  <c r="AA64" i="6" s="1"/>
  <c r="W64" i="6"/>
  <c r="AD64" i="6" s="1"/>
  <c r="AC63" i="6"/>
  <c r="Z63" i="6"/>
  <c r="Y63" i="6"/>
  <c r="AA63" i="6" s="1"/>
  <c r="W63" i="6"/>
  <c r="AD63" i="6" s="1"/>
  <c r="AC62" i="6"/>
  <c r="Z62" i="6"/>
  <c r="Y62" i="6"/>
  <c r="AA62" i="6" s="1"/>
  <c r="W62" i="6"/>
  <c r="AD62" i="6" s="1"/>
  <c r="AC61" i="6"/>
  <c r="Z61" i="6"/>
  <c r="Y61" i="6"/>
  <c r="AA61" i="6" s="1"/>
  <c r="W61" i="6"/>
  <c r="AD61" i="6" s="1"/>
  <c r="AC60" i="6"/>
  <c r="Z60" i="6"/>
  <c r="Y60" i="6"/>
  <c r="AA60" i="6" s="1"/>
  <c r="W60" i="6"/>
  <c r="AD60" i="6" s="1"/>
  <c r="AC59" i="6"/>
  <c r="Z59" i="6"/>
  <c r="Y59" i="6"/>
  <c r="AA59" i="6" s="1"/>
  <c r="W59" i="6"/>
  <c r="AD59" i="6" s="1"/>
  <c r="AC58" i="6"/>
  <c r="Z58" i="6"/>
  <c r="Y58" i="6"/>
  <c r="AA58" i="6" s="1"/>
  <c r="W58" i="6"/>
  <c r="AD58" i="6" s="1"/>
  <c r="AC57" i="6"/>
  <c r="Z57" i="6"/>
  <c r="Y57" i="6"/>
  <c r="AA57" i="6" s="1"/>
  <c r="W57" i="6"/>
  <c r="AD57" i="6" s="1"/>
  <c r="AC56" i="6"/>
  <c r="Z56" i="6"/>
  <c r="Y56" i="6"/>
  <c r="AA56" i="6" s="1"/>
  <c r="W56" i="6"/>
  <c r="AD56" i="6" s="1"/>
  <c r="AC55" i="6"/>
  <c r="Z55" i="6"/>
  <c r="Y55" i="6"/>
  <c r="AA55" i="6" s="1"/>
  <c r="W55" i="6"/>
  <c r="AD55" i="6" s="1"/>
  <c r="AC54" i="6"/>
  <c r="Z54" i="6"/>
  <c r="Y54" i="6"/>
  <c r="AA54" i="6" s="1"/>
  <c r="W54" i="6"/>
  <c r="AD54" i="6" s="1"/>
  <c r="AC53" i="6"/>
  <c r="Z53" i="6"/>
  <c r="Y53" i="6"/>
  <c r="AA53" i="6" s="1"/>
  <c r="W53" i="6"/>
  <c r="AD53" i="6" s="1"/>
  <c r="AC52" i="6"/>
  <c r="Z52" i="6"/>
  <c r="Y52" i="6"/>
  <c r="AA52" i="6" s="1"/>
  <c r="W52" i="6"/>
  <c r="AD52" i="6" s="1"/>
  <c r="AC51" i="6"/>
  <c r="Z51" i="6"/>
  <c r="Y51" i="6"/>
  <c r="AA51" i="6" s="1"/>
  <c r="W51" i="6"/>
  <c r="AD51" i="6" s="1"/>
  <c r="N51" i="6"/>
  <c r="M51" i="6"/>
  <c r="L51" i="6"/>
  <c r="K51" i="6"/>
  <c r="AC50" i="6"/>
  <c r="Z50" i="6"/>
  <c r="Y50" i="6"/>
  <c r="AA50" i="6" s="1"/>
  <c r="W50" i="6"/>
  <c r="AD50" i="6" s="1"/>
  <c r="N50" i="6"/>
  <c r="M50" i="6"/>
  <c r="L50" i="6"/>
  <c r="K50" i="6"/>
  <c r="AC49" i="6"/>
  <c r="Z49" i="6"/>
  <c r="Y49" i="6"/>
  <c r="AA49" i="6" s="1"/>
  <c r="W49" i="6"/>
  <c r="AD49" i="6" s="1"/>
  <c r="N49" i="6"/>
  <c r="M49" i="6"/>
  <c r="L49" i="6"/>
  <c r="K49" i="6"/>
  <c r="AC48" i="6"/>
  <c r="Z48" i="6"/>
  <c r="Y48" i="6"/>
  <c r="AA48" i="6" s="1"/>
  <c r="W48" i="6"/>
  <c r="AD48" i="6" s="1"/>
  <c r="N48" i="6"/>
  <c r="M48" i="6"/>
  <c r="L48" i="6"/>
  <c r="K48" i="6"/>
  <c r="AC47" i="6"/>
  <c r="Z47" i="6"/>
  <c r="Y47" i="6"/>
  <c r="AA47" i="6" s="1"/>
  <c r="W47" i="6"/>
  <c r="AD47" i="6" s="1"/>
  <c r="N47" i="6"/>
  <c r="M47" i="6"/>
  <c r="L47" i="6"/>
  <c r="K47" i="6"/>
  <c r="AC46" i="6"/>
  <c r="Z46" i="6"/>
  <c r="Y46" i="6"/>
  <c r="AA46" i="6" s="1"/>
  <c r="W46" i="6"/>
  <c r="AD46" i="6" s="1"/>
  <c r="N46" i="6"/>
  <c r="M46" i="6"/>
  <c r="L46" i="6"/>
  <c r="K46" i="6"/>
  <c r="AC45" i="6"/>
  <c r="Z45" i="6"/>
  <c r="Y45" i="6"/>
  <c r="AA45" i="6" s="1"/>
  <c r="W45" i="6"/>
  <c r="AD45" i="6" s="1"/>
  <c r="N45" i="6"/>
  <c r="M45" i="6"/>
  <c r="L45" i="6"/>
  <c r="K45" i="6"/>
  <c r="AC44" i="6"/>
  <c r="Z44" i="6"/>
  <c r="Y44" i="6"/>
  <c r="AA44" i="6" s="1"/>
  <c r="W44" i="6"/>
  <c r="AD44" i="6" s="1"/>
  <c r="N44" i="6"/>
  <c r="M44" i="6"/>
  <c r="L44" i="6"/>
  <c r="K44" i="6"/>
  <c r="AC43" i="6"/>
  <c r="Z43" i="6"/>
  <c r="Y43" i="6"/>
  <c r="AA43" i="6" s="1"/>
  <c r="W43" i="6"/>
  <c r="AD43" i="6" s="1"/>
  <c r="N43" i="6"/>
  <c r="M43" i="6"/>
  <c r="L43" i="6"/>
  <c r="K43" i="6"/>
  <c r="AC42" i="6"/>
  <c r="Z42" i="6"/>
  <c r="Y42" i="6"/>
  <c r="AA42" i="6" s="1"/>
  <c r="W42" i="6"/>
  <c r="AD42" i="6" s="1"/>
  <c r="N42" i="6"/>
  <c r="M42" i="6"/>
  <c r="L42" i="6"/>
  <c r="K42" i="6"/>
  <c r="AC41" i="6"/>
  <c r="Z41" i="6"/>
  <c r="Y41" i="6"/>
  <c r="AA41" i="6" s="1"/>
  <c r="W41" i="6"/>
  <c r="AD41" i="6" s="1"/>
  <c r="N41" i="6"/>
  <c r="M41" i="6"/>
  <c r="L41" i="6"/>
  <c r="K41" i="6"/>
  <c r="AC40" i="6"/>
  <c r="Z40" i="6"/>
  <c r="Y40" i="6"/>
  <c r="AA40" i="6" s="1"/>
  <c r="W40" i="6"/>
  <c r="AD40" i="6" s="1"/>
  <c r="N40" i="6"/>
  <c r="M40" i="6"/>
  <c r="L40" i="6"/>
  <c r="K40" i="6"/>
  <c r="AC39" i="6"/>
  <c r="Z39" i="6"/>
  <c r="Y39" i="6"/>
  <c r="AA39" i="6" s="1"/>
  <c r="W39" i="6"/>
  <c r="AD39" i="6" s="1"/>
  <c r="N39" i="6"/>
  <c r="M39" i="6"/>
  <c r="L39" i="6"/>
  <c r="K39" i="6"/>
  <c r="AC38" i="6"/>
  <c r="Z38" i="6"/>
  <c r="Y38" i="6"/>
  <c r="AA38" i="6" s="1"/>
  <c r="W38" i="6"/>
  <c r="AD38" i="6" s="1"/>
  <c r="N38" i="6"/>
  <c r="M38" i="6"/>
  <c r="L38" i="6"/>
  <c r="K38" i="6"/>
  <c r="AC37" i="6"/>
  <c r="Z37" i="6"/>
  <c r="Y37" i="6"/>
  <c r="AA37" i="6" s="1"/>
  <c r="W37" i="6"/>
  <c r="AD37" i="6" s="1"/>
  <c r="N37" i="6"/>
  <c r="M37" i="6"/>
  <c r="L37" i="6"/>
  <c r="K37" i="6"/>
  <c r="AC36" i="6"/>
  <c r="Z36" i="6"/>
  <c r="Y36" i="6"/>
  <c r="AA36" i="6" s="1"/>
  <c r="W36" i="6"/>
  <c r="AD36" i="6" s="1"/>
  <c r="N36" i="6"/>
  <c r="M36" i="6"/>
  <c r="L36" i="6"/>
  <c r="K36" i="6"/>
  <c r="AC35" i="6"/>
  <c r="Z35" i="6"/>
  <c r="Y35" i="6"/>
  <c r="AA35" i="6" s="1"/>
  <c r="W35" i="6"/>
  <c r="AD35" i="6" s="1"/>
  <c r="N35" i="6"/>
  <c r="M35" i="6"/>
  <c r="L35" i="6"/>
  <c r="K35" i="6"/>
  <c r="AC34" i="6"/>
  <c r="Z34" i="6"/>
  <c r="Y34" i="6"/>
  <c r="AA34" i="6" s="1"/>
  <c r="W34" i="6"/>
  <c r="AD34" i="6" s="1"/>
  <c r="N34" i="6"/>
  <c r="M34" i="6"/>
  <c r="L34" i="6"/>
  <c r="K34" i="6"/>
  <c r="AC33" i="6"/>
  <c r="Z33" i="6"/>
  <c r="Y33" i="6"/>
  <c r="AA33" i="6" s="1"/>
  <c r="W33" i="6"/>
  <c r="AD33" i="6" s="1"/>
  <c r="N33" i="6"/>
  <c r="M33" i="6"/>
  <c r="L33" i="6"/>
  <c r="K33" i="6"/>
  <c r="AC32" i="6"/>
  <c r="Z32" i="6"/>
  <c r="Y32" i="6"/>
  <c r="AA32" i="6" s="1"/>
  <c r="W32" i="6"/>
  <c r="AD32" i="6" s="1"/>
  <c r="N32" i="6"/>
  <c r="M32" i="6"/>
  <c r="L32" i="6"/>
  <c r="K32" i="6"/>
  <c r="AC31" i="6"/>
  <c r="Z31" i="6"/>
  <c r="Y31" i="6"/>
  <c r="AA31" i="6" s="1"/>
  <c r="W31" i="6"/>
  <c r="AD31" i="6" s="1"/>
  <c r="N31" i="6"/>
  <c r="M31" i="6"/>
  <c r="L31" i="6"/>
  <c r="K31" i="6"/>
  <c r="AC30" i="6"/>
  <c r="Z30" i="6"/>
  <c r="Y30" i="6"/>
  <c r="AA30" i="6" s="1"/>
  <c r="W30" i="6"/>
  <c r="AD30" i="6" s="1"/>
  <c r="N30" i="6"/>
  <c r="M30" i="6"/>
  <c r="L30" i="6"/>
  <c r="K30" i="6"/>
  <c r="AC29" i="6"/>
  <c r="Z29" i="6"/>
  <c r="Y29" i="6"/>
  <c r="AA29" i="6" s="1"/>
  <c r="W29" i="6"/>
  <c r="AD29" i="6" s="1"/>
  <c r="N29" i="6"/>
  <c r="M29" i="6"/>
  <c r="L29" i="6"/>
  <c r="K29" i="6"/>
  <c r="AC28" i="6"/>
  <c r="Z28" i="6"/>
  <c r="Y28" i="6"/>
  <c r="AA28" i="6" s="1"/>
  <c r="W28" i="6"/>
  <c r="AD28" i="6" s="1"/>
  <c r="N28" i="6"/>
  <c r="M28" i="6"/>
  <c r="L28" i="6"/>
  <c r="K28" i="6"/>
  <c r="AC27" i="6"/>
  <c r="Z27" i="6"/>
  <c r="Y27" i="6"/>
  <c r="AA27" i="6" s="1"/>
  <c r="W27" i="6"/>
  <c r="AD27" i="6" s="1"/>
  <c r="N27" i="6"/>
  <c r="M27" i="6"/>
  <c r="L27" i="6"/>
  <c r="K27" i="6"/>
  <c r="AC26" i="6"/>
  <c r="Z26" i="6"/>
  <c r="Y26" i="6"/>
  <c r="AA26" i="6" s="1"/>
  <c r="W26" i="6"/>
  <c r="AD26" i="6" s="1"/>
  <c r="N26" i="6"/>
  <c r="M26" i="6"/>
  <c r="L26" i="6"/>
  <c r="K26" i="6"/>
  <c r="AC25" i="6"/>
  <c r="Z25" i="6"/>
  <c r="Y25" i="6"/>
  <c r="AA25" i="6" s="1"/>
  <c r="W25" i="6"/>
  <c r="AD25" i="6" s="1"/>
  <c r="N25" i="6"/>
  <c r="M25" i="6"/>
  <c r="L25" i="6"/>
  <c r="K25" i="6"/>
  <c r="AC24" i="6"/>
  <c r="Z24" i="6"/>
  <c r="Y24" i="6"/>
  <c r="AA24" i="6" s="1"/>
  <c r="W24" i="6"/>
  <c r="AD24" i="6" s="1"/>
  <c r="N24" i="6"/>
  <c r="M24" i="6"/>
  <c r="L24" i="6"/>
  <c r="K24" i="6"/>
  <c r="AC23" i="6"/>
  <c r="Z23" i="6"/>
  <c r="Y23" i="6"/>
  <c r="AA23" i="6" s="1"/>
  <c r="W23" i="6"/>
  <c r="AD23" i="6" s="1"/>
  <c r="AC22" i="6"/>
  <c r="Z22" i="6"/>
  <c r="Y22" i="6"/>
  <c r="W22" i="6"/>
  <c r="AC21" i="6"/>
  <c r="Z21" i="6"/>
  <c r="Y21" i="6"/>
  <c r="W21" i="6"/>
  <c r="AC20" i="6"/>
  <c r="Z20" i="6"/>
  <c r="Y20" i="6"/>
  <c r="W20" i="6"/>
  <c r="AC19" i="6"/>
  <c r="Z19" i="6"/>
  <c r="Y19" i="6"/>
  <c r="W19" i="6"/>
  <c r="L19" i="6"/>
  <c r="N19" i="6" s="1"/>
  <c r="AC18" i="6"/>
  <c r="Z18" i="6"/>
  <c r="Y18" i="6"/>
  <c r="AA18" i="6" s="1"/>
  <c r="W18" i="6"/>
  <c r="AD18" i="6" s="1"/>
  <c r="K19" i="6" s="1"/>
  <c r="M19" i="6" s="1"/>
  <c r="AC17" i="6"/>
  <c r="Z17" i="6"/>
  <c r="Y17" i="6"/>
  <c r="W17" i="6"/>
  <c r="L17" i="6"/>
  <c r="N17" i="6" s="1"/>
  <c r="AC16" i="6"/>
  <c r="Z16" i="6"/>
  <c r="Y16" i="6"/>
  <c r="AA16" i="6" s="1"/>
  <c r="W16" i="6"/>
  <c r="AC15" i="6"/>
  <c r="Z15" i="6"/>
  <c r="Y15" i="6"/>
  <c r="W15" i="6"/>
  <c r="L15" i="6"/>
  <c r="N15" i="6" s="1"/>
  <c r="AC14" i="6"/>
  <c r="Z14" i="6"/>
  <c r="Y14" i="6"/>
  <c r="AA14" i="6" s="1"/>
  <c r="W14" i="6"/>
  <c r="AD14" i="6" s="1"/>
  <c r="K15" i="6" s="1"/>
  <c r="M15" i="6" s="1"/>
  <c r="AC13" i="6"/>
  <c r="Z13" i="6"/>
  <c r="Y13" i="6"/>
  <c r="W13" i="6"/>
  <c r="L13" i="6"/>
  <c r="N13" i="6" s="1"/>
  <c r="AC12" i="6"/>
  <c r="Z12" i="6"/>
  <c r="Y12" i="6"/>
  <c r="AA12" i="6" s="1"/>
  <c r="W12" i="6"/>
  <c r="AD12" i="6" s="1"/>
  <c r="K13" i="6" s="1"/>
  <c r="M13" i="6" s="1"/>
  <c r="AC11" i="6"/>
  <c r="Z11" i="6"/>
  <c r="Y11" i="6"/>
  <c r="W11" i="6"/>
  <c r="AC10" i="6"/>
  <c r="Z10" i="6"/>
  <c r="Y10" i="6"/>
  <c r="W10" i="6"/>
  <c r="AC9" i="6"/>
  <c r="Z9" i="6"/>
  <c r="Y9" i="6"/>
  <c r="W9" i="6"/>
  <c r="AC8" i="6"/>
  <c r="Z8" i="6"/>
  <c r="Y8" i="6"/>
  <c r="W8" i="6"/>
  <c r="AC7" i="6"/>
  <c r="Z7" i="6"/>
  <c r="Y7" i="6"/>
  <c r="W7" i="6"/>
  <c r="N7" i="6"/>
  <c r="M7" i="6"/>
  <c r="L7" i="6"/>
  <c r="K7" i="6"/>
  <c r="AC126" i="5"/>
  <c r="Z126" i="5"/>
  <c r="Y126" i="5"/>
  <c r="AA126" i="5" s="1"/>
  <c r="W126" i="5"/>
  <c r="AD126" i="5" s="1"/>
  <c r="AC125" i="5"/>
  <c r="Z125" i="5"/>
  <c r="Y125" i="5"/>
  <c r="AA125" i="5" s="1"/>
  <c r="W125" i="5"/>
  <c r="AD125" i="5" s="1"/>
  <c r="AC124" i="5"/>
  <c r="Z124" i="5"/>
  <c r="Y124" i="5"/>
  <c r="AA124" i="5" s="1"/>
  <c r="W124" i="5"/>
  <c r="AD124" i="5" s="1"/>
  <c r="AC123" i="5"/>
  <c r="Z123" i="5"/>
  <c r="Y123" i="5"/>
  <c r="AA123" i="5" s="1"/>
  <c r="W123" i="5"/>
  <c r="AC122" i="5"/>
  <c r="Z122" i="5"/>
  <c r="Y122" i="5"/>
  <c r="AA122" i="5" s="1"/>
  <c r="W122" i="5"/>
  <c r="AC121" i="5"/>
  <c r="Z121" i="5"/>
  <c r="Y121" i="5"/>
  <c r="AA121" i="5" s="1"/>
  <c r="W121" i="5"/>
  <c r="AD121" i="5" s="1"/>
  <c r="AC120" i="5"/>
  <c r="Z120" i="5"/>
  <c r="Y120" i="5"/>
  <c r="AA120" i="5" s="1"/>
  <c r="W120" i="5"/>
  <c r="AD120" i="5" s="1"/>
  <c r="AC119" i="5"/>
  <c r="Z119" i="5"/>
  <c r="Y119" i="5"/>
  <c r="AA119" i="5" s="1"/>
  <c r="W119" i="5"/>
  <c r="AC118" i="5"/>
  <c r="Z118" i="5"/>
  <c r="Y118" i="5"/>
  <c r="AA118" i="5" s="1"/>
  <c r="W118" i="5"/>
  <c r="AC117" i="5"/>
  <c r="Z117" i="5"/>
  <c r="Y117" i="5"/>
  <c r="AA117" i="5" s="1"/>
  <c r="W117" i="5"/>
  <c r="AD117" i="5" s="1"/>
  <c r="AC116" i="5"/>
  <c r="Z116" i="5"/>
  <c r="Y116" i="5"/>
  <c r="AA116" i="5" s="1"/>
  <c r="W116" i="5"/>
  <c r="AD116" i="5" s="1"/>
  <c r="AC115" i="5"/>
  <c r="Z115" i="5"/>
  <c r="Y115" i="5"/>
  <c r="AA115" i="5" s="1"/>
  <c r="W115" i="5"/>
  <c r="AD115" i="5" s="1"/>
  <c r="AC114" i="5"/>
  <c r="Z114" i="5"/>
  <c r="Y114" i="5"/>
  <c r="AA114" i="5" s="1"/>
  <c r="W114" i="5"/>
  <c r="AD114" i="5" s="1"/>
  <c r="AC113" i="5"/>
  <c r="Z113" i="5"/>
  <c r="Y113" i="5"/>
  <c r="AA113" i="5" s="1"/>
  <c r="W113" i="5"/>
  <c r="AD113" i="5" s="1"/>
  <c r="AC112" i="5"/>
  <c r="Z112" i="5"/>
  <c r="Y112" i="5"/>
  <c r="AA112" i="5" s="1"/>
  <c r="W112" i="5"/>
  <c r="AD112" i="5" s="1"/>
  <c r="AC111" i="5"/>
  <c r="Z111" i="5"/>
  <c r="Y111" i="5"/>
  <c r="AA111" i="5" s="1"/>
  <c r="W111" i="5"/>
  <c r="AC110" i="5"/>
  <c r="Z110" i="5"/>
  <c r="Y110" i="5"/>
  <c r="AA110" i="5" s="1"/>
  <c r="W110" i="5"/>
  <c r="AD110" i="5" s="1"/>
  <c r="AC109" i="5"/>
  <c r="Z109" i="5"/>
  <c r="Y109" i="5"/>
  <c r="AA109" i="5" s="1"/>
  <c r="W109" i="5"/>
  <c r="AD109" i="5" s="1"/>
  <c r="AC108" i="5"/>
  <c r="Z108" i="5"/>
  <c r="Y108" i="5"/>
  <c r="AA108" i="5" s="1"/>
  <c r="W108" i="5"/>
  <c r="AD108" i="5" s="1"/>
  <c r="AC107" i="5"/>
  <c r="Z107" i="5"/>
  <c r="Y107" i="5"/>
  <c r="AA107" i="5" s="1"/>
  <c r="W107" i="5"/>
  <c r="AD107" i="5" s="1"/>
  <c r="AC106" i="5"/>
  <c r="Z106" i="5"/>
  <c r="Y106" i="5"/>
  <c r="AA106" i="5" s="1"/>
  <c r="W106" i="5"/>
  <c r="AD106" i="5" s="1"/>
  <c r="AC105" i="5"/>
  <c r="Z105" i="5"/>
  <c r="Y105" i="5"/>
  <c r="AA105" i="5" s="1"/>
  <c r="W105" i="5"/>
  <c r="AD105" i="5" s="1"/>
  <c r="AC104" i="5"/>
  <c r="Z104" i="5"/>
  <c r="Y104" i="5"/>
  <c r="AA104" i="5" s="1"/>
  <c r="W104" i="5"/>
  <c r="AD104" i="5" s="1"/>
  <c r="AC103" i="5"/>
  <c r="Z103" i="5"/>
  <c r="Y103" i="5"/>
  <c r="AA103" i="5" s="1"/>
  <c r="W103" i="5"/>
  <c r="AD103" i="5" s="1"/>
  <c r="AC102" i="5"/>
  <c r="Z102" i="5"/>
  <c r="Y102" i="5"/>
  <c r="AA102" i="5" s="1"/>
  <c r="W102" i="5"/>
  <c r="AD102" i="5" s="1"/>
  <c r="AC101" i="5"/>
  <c r="Z101" i="5"/>
  <c r="Y101" i="5"/>
  <c r="AA101" i="5" s="1"/>
  <c r="W101" i="5"/>
  <c r="AD101" i="5" s="1"/>
  <c r="AC100" i="5"/>
  <c r="Z100" i="5"/>
  <c r="Y100" i="5"/>
  <c r="AA100" i="5" s="1"/>
  <c r="W100" i="5"/>
  <c r="AD100" i="5" s="1"/>
  <c r="AC99" i="5"/>
  <c r="Z99" i="5"/>
  <c r="Y99" i="5"/>
  <c r="AA99" i="5" s="1"/>
  <c r="W99" i="5"/>
  <c r="AD99" i="5" s="1"/>
  <c r="AC98" i="5"/>
  <c r="Z98" i="5"/>
  <c r="Y98" i="5"/>
  <c r="AA98" i="5" s="1"/>
  <c r="W98" i="5"/>
  <c r="AD98" i="5" s="1"/>
  <c r="AC97" i="5"/>
  <c r="Z97" i="5"/>
  <c r="Y97" i="5"/>
  <c r="AA97" i="5" s="1"/>
  <c r="W97" i="5"/>
  <c r="AD97" i="5" s="1"/>
  <c r="AC96" i="5"/>
  <c r="Z96" i="5"/>
  <c r="Y96" i="5"/>
  <c r="AA96" i="5" s="1"/>
  <c r="W96" i="5"/>
  <c r="AD96" i="5" s="1"/>
  <c r="AC95" i="5"/>
  <c r="Z95" i="5"/>
  <c r="Y95" i="5"/>
  <c r="AA95" i="5" s="1"/>
  <c r="W95" i="5"/>
  <c r="AD95" i="5" s="1"/>
  <c r="AC94" i="5"/>
  <c r="Z94" i="5"/>
  <c r="Y94" i="5"/>
  <c r="AA94" i="5" s="1"/>
  <c r="W94" i="5"/>
  <c r="AD94" i="5" s="1"/>
  <c r="AC93" i="5"/>
  <c r="Z93" i="5"/>
  <c r="Y93" i="5"/>
  <c r="AA93" i="5" s="1"/>
  <c r="W93" i="5"/>
  <c r="AD93" i="5" s="1"/>
  <c r="AC92" i="5"/>
  <c r="Z92" i="5"/>
  <c r="Y92" i="5"/>
  <c r="AA92" i="5" s="1"/>
  <c r="W92" i="5"/>
  <c r="AD92" i="5" s="1"/>
  <c r="AC91" i="5"/>
  <c r="Z91" i="5"/>
  <c r="Y91" i="5"/>
  <c r="AA91" i="5" s="1"/>
  <c r="W91" i="5"/>
  <c r="AD91" i="5" s="1"/>
  <c r="AC90" i="5"/>
  <c r="Z90" i="5"/>
  <c r="Y90" i="5"/>
  <c r="AA90" i="5" s="1"/>
  <c r="W90" i="5"/>
  <c r="AD90" i="5" s="1"/>
  <c r="AC89" i="5"/>
  <c r="Z89" i="5"/>
  <c r="Y89" i="5"/>
  <c r="AA89" i="5" s="1"/>
  <c r="W89" i="5"/>
  <c r="AD89" i="5" s="1"/>
  <c r="AC88" i="5"/>
  <c r="Z88" i="5"/>
  <c r="Y88" i="5"/>
  <c r="AA88" i="5" s="1"/>
  <c r="W88" i="5"/>
  <c r="AD88" i="5" s="1"/>
  <c r="AC87" i="5"/>
  <c r="Z87" i="5"/>
  <c r="Y87" i="5"/>
  <c r="AA87" i="5" s="1"/>
  <c r="W87" i="5"/>
  <c r="AD87" i="5" s="1"/>
  <c r="AC86" i="5"/>
  <c r="Z86" i="5"/>
  <c r="Y86" i="5"/>
  <c r="AA86" i="5" s="1"/>
  <c r="W86" i="5"/>
  <c r="AD86" i="5" s="1"/>
  <c r="AC85" i="5"/>
  <c r="Z85" i="5"/>
  <c r="Y85" i="5"/>
  <c r="AA85" i="5" s="1"/>
  <c r="W85" i="5"/>
  <c r="AD85" i="5" s="1"/>
  <c r="AC84" i="5"/>
  <c r="Z84" i="5"/>
  <c r="Y84" i="5"/>
  <c r="AA84" i="5" s="1"/>
  <c r="W84" i="5"/>
  <c r="AD84" i="5" s="1"/>
  <c r="AC83" i="5"/>
  <c r="Z83" i="5"/>
  <c r="Y83" i="5"/>
  <c r="AA83" i="5" s="1"/>
  <c r="W83" i="5"/>
  <c r="AD83" i="5" s="1"/>
  <c r="AC82" i="5"/>
  <c r="Z82" i="5"/>
  <c r="Y82" i="5"/>
  <c r="AA82" i="5" s="1"/>
  <c r="W82" i="5"/>
  <c r="AD82" i="5" s="1"/>
  <c r="AC81" i="5"/>
  <c r="Z81" i="5"/>
  <c r="Y81" i="5"/>
  <c r="AA81" i="5" s="1"/>
  <c r="W81" i="5"/>
  <c r="AD81" i="5" s="1"/>
  <c r="AC80" i="5"/>
  <c r="Z80" i="5"/>
  <c r="Y80" i="5"/>
  <c r="AA80" i="5" s="1"/>
  <c r="W80" i="5"/>
  <c r="AD80" i="5" s="1"/>
  <c r="AC79" i="5"/>
  <c r="Z79" i="5"/>
  <c r="Y79" i="5"/>
  <c r="AA79" i="5" s="1"/>
  <c r="W79" i="5"/>
  <c r="AD79" i="5" s="1"/>
  <c r="AC78" i="5"/>
  <c r="Z78" i="5"/>
  <c r="Y78" i="5"/>
  <c r="AA78" i="5" s="1"/>
  <c r="W78" i="5"/>
  <c r="AD78" i="5" s="1"/>
  <c r="AC77" i="5"/>
  <c r="Z77" i="5"/>
  <c r="Y77" i="5"/>
  <c r="AA77" i="5" s="1"/>
  <c r="W77" i="5"/>
  <c r="AD77" i="5" s="1"/>
  <c r="AC76" i="5"/>
  <c r="Z76" i="5"/>
  <c r="Y76" i="5"/>
  <c r="AA76" i="5" s="1"/>
  <c r="W76" i="5"/>
  <c r="AD76" i="5" s="1"/>
  <c r="AC75" i="5"/>
  <c r="Z75" i="5"/>
  <c r="Y75" i="5"/>
  <c r="AA75" i="5" s="1"/>
  <c r="W75" i="5"/>
  <c r="AD75" i="5" s="1"/>
  <c r="AC74" i="5"/>
  <c r="Z74" i="5"/>
  <c r="Y74" i="5"/>
  <c r="AA74" i="5" s="1"/>
  <c r="W74" i="5"/>
  <c r="AD74" i="5" s="1"/>
  <c r="AC73" i="5"/>
  <c r="Z73" i="5"/>
  <c r="Y73" i="5"/>
  <c r="AA73" i="5" s="1"/>
  <c r="W73" i="5"/>
  <c r="AD73" i="5" s="1"/>
  <c r="AC72" i="5"/>
  <c r="Z72" i="5"/>
  <c r="Y72" i="5"/>
  <c r="AA72" i="5" s="1"/>
  <c r="W72" i="5"/>
  <c r="AD72" i="5" s="1"/>
  <c r="AC71" i="5"/>
  <c r="Z71" i="5"/>
  <c r="Y71" i="5"/>
  <c r="AA71" i="5" s="1"/>
  <c r="W71" i="5"/>
  <c r="AD71" i="5" s="1"/>
  <c r="AC70" i="5"/>
  <c r="Z70" i="5"/>
  <c r="Y70" i="5"/>
  <c r="AA70" i="5" s="1"/>
  <c r="W70" i="5"/>
  <c r="AD70" i="5" s="1"/>
  <c r="AC69" i="5"/>
  <c r="Z69" i="5"/>
  <c r="Y69" i="5"/>
  <c r="AA69" i="5" s="1"/>
  <c r="W69" i="5"/>
  <c r="AD69" i="5" s="1"/>
  <c r="AC68" i="5"/>
  <c r="Z68" i="5"/>
  <c r="Y68" i="5"/>
  <c r="AA68" i="5" s="1"/>
  <c r="W68" i="5"/>
  <c r="AD68" i="5" s="1"/>
  <c r="AC67" i="5"/>
  <c r="Z67" i="5"/>
  <c r="Y67" i="5"/>
  <c r="AA67" i="5" s="1"/>
  <c r="W67" i="5"/>
  <c r="AD67" i="5" s="1"/>
  <c r="AC66" i="5"/>
  <c r="Z66" i="5"/>
  <c r="Y66" i="5"/>
  <c r="AA66" i="5" s="1"/>
  <c r="W66" i="5"/>
  <c r="AD66" i="5" s="1"/>
  <c r="AC65" i="5"/>
  <c r="Z65" i="5"/>
  <c r="Y65" i="5"/>
  <c r="AA65" i="5" s="1"/>
  <c r="W65" i="5"/>
  <c r="AD65" i="5" s="1"/>
  <c r="AC64" i="5"/>
  <c r="Z64" i="5"/>
  <c r="Y64" i="5"/>
  <c r="AA64" i="5" s="1"/>
  <c r="W64" i="5"/>
  <c r="AD64" i="5" s="1"/>
  <c r="AC63" i="5"/>
  <c r="Z63" i="5"/>
  <c r="Y63" i="5"/>
  <c r="AA63" i="5" s="1"/>
  <c r="W63" i="5"/>
  <c r="AD63" i="5" s="1"/>
  <c r="AC62" i="5"/>
  <c r="Z62" i="5"/>
  <c r="Y62" i="5"/>
  <c r="AA62" i="5" s="1"/>
  <c r="W62" i="5"/>
  <c r="AD62" i="5" s="1"/>
  <c r="AC61" i="5"/>
  <c r="Z61" i="5"/>
  <c r="Y61" i="5"/>
  <c r="AA61" i="5" s="1"/>
  <c r="W61" i="5"/>
  <c r="AD61" i="5" s="1"/>
  <c r="AC60" i="5"/>
  <c r="Z60" i="5"/>
  <c r="Y60" i="5"/>
  <c r="AA60" i="5" s="1"/>
  <c r="W60" i="5"/>
  <c r="AD60" i="5" s="1"/>
  <c r="AC59" i="5"/>
  <c r="Z59" i="5"/>
  <c r="Y59" i="5"/>
  <c r="AA59" i="5" s="1"/>
  <c r="W59" i="5"/>
  <c r="AD59" i="5" s="1"/>
  <c r="AC58" i="5"/>
  <c r="Z58" i="5"/>
  <c r="Y58" i="5"/>
  <c r="AA58" i="5" s="1"/>
  <c r="W58" i="5"/>
  <c r="AD58" i="5" s="1"/>
  <c r="AC57" i="5"/>
  <c r="Z57" i="5"/>
  <c r="Y57" i="5"/>
  <c r="AA57" i="5" s="1"/>
  <c r="W57" i="5"/>
  <c r="AD57" i="5" s="1"/>
  <c r="AC56" i="5"/>
  <c r="Z56" i="5"/>
  <c r="Y56" i="5"/>
  <c r="AA56" i="5" s="1"/>
  <c r="W56" i="5"/>
  <c r="AD56" i="5" s="1"/>
  <c r="AC55" i="5"/>
  <c r="Z55" i="5"/>
  <c r="Y55" i="5"/>
  <c r="AA55" i="5" s="1"/>
  <c r="W55" i="5"/>
  <c r="AD55" i="5" s="1"/>
  <c r="AC54" i="5"/>
  <c r="Z54" i="5"/>
  <c r="Y54" i="5"/>
  <c r="AA54" i="5" s="1"/>
  <c r="W54" i="5"/>
  <c r="AD54" i="5" s="1"/>
  <c r="AC53" i="5"/>
  <c r="Z53" i="5"/>
  <c r="Y53" i="5"/>
  <c r="AA53" i="5" s="1"/>
  <c r="W53" i="5"/>
  <c r="AC52" i="5"/>
  <c r="Z52" i="5"/>
  <c r="Y52" i="5"/>
  <c r="AA52" i="5" s="1"/>
  <c r="W52" i="5"/>
  <c r="AD52" i="5" s="1"/>
  <c r="AC51" i="5"/>
  <c r="Z51" i="5"/>
  <c r="Y51" i="5"/>
  <c r="AA51" i="5" s="1"/>
  <c r="W51" i="5"/>
  <c r="AD51" i="5" s="1"/>
  <c r="N51" i="5"/>
  <c r="M51" i="5"/>
  <c r="L51" i="5"/>
  <c r="K51" i="5"/>
  <c r="AC50" i="5"/>
  <c r="Z50" i="5"/>
  <c r="Y50" i="5"/>
  <c r="AA50" i="5" s="1"/>
  <c r="W50" i="5"/>
  <c r="AD50" i="5" s="1"/>
  <c r="N50" i="5"/>
  <c r="M50" i="5"/>
  <c r="L50" i="5"/>
  <c r="K50" i="5"/>
  <c r="AC49" i="5"/>
  <c r="Z49" i="5"/>
  <c r="Y49" i="5"/>
  <c r="AA49" i="5" s="1"/>
  <c r="W49" i="5"/>
  <c r="AD49" i="5" s="1"/>
  <c r="N49" i="5"/>
  <c r="M49" i="5"/>
  <c r="L49" i="5"/>
  <c r="K49" i="5"/>
  <c r="AC48" i="5"/>
  <c r="Z48" i="5"/>
  <c r="Y48" i="5"/>
  <c r="AA48" i="5" s="1"/>
  <c r="W48" i="5"/>
  <c r="N48" i="5"/>
  <c r="M48" i="5"/>
  <c r="L48" i="5"/>
  <c r="K48" i="5"/>
  <c r="AC47" i="5"/>
  <c r="Z47" i="5"/>
  <c r="Y47" i="5"/>
  <c r="AA47" i="5" s="1"/>
  <c r="W47" i="5"/>
  <c r="AD47" i="5" s="1"/>
  <c r="N47" i="5"/>
  <c r="M47" i="5"/>
  <c r="L47" i="5"/>
  <c r="K47" i="5"/>
  <c r="AC46" i="5"/>
  <c r="Z46" i="5"/>
  <c r="Y46" i="5"/>
  <c r="AA46" i="5" s="1"/>
  <c r="W46" i="5"/>
  <c r="AD46" i="5" s="1"/>
  <c r="N46" i="5"/>
  <c r="M46" i="5"/>
  <c r="L46" i="5"/>
  <c r="K46" i="5"/>
  <c r="AC45" i="5"/>
  <c r="Z45" i="5"/>
  <c r="Y45" i="5"/>
  <c r="AA45" i="5" s="1"/>
  <c r="W45" i="5"/>
  <c r="AD45" i="5" s="1"/>
  <c r="N45" i="5"/>
  <c r="M45" i="5"/>
  <c r="L45" i="5"/>
  <c r="K45" i="5"/>
  <c r="AC44" i="5"/>
  <c r="Z44" i="5"/>
  <c r="Y44" i="5"/>
  <c r="AA44" i="5" s="1"/>
  <c r="W44" i="5"/>
  <c r="N44" i="5"/>
  <c r="M44" i="5"/>
  <c r="L44" i="5"/>
  <c r="K44" i="5"/>
  <c r="AC43" i="5"/>
  <c r="Z43" i="5"/>
  <c r="Y43" i="5"/>
  <c r="AA43" i="5" s="1"/>
  <c r="W43" i="5"/>
  <c r="AD43" i="5" s="1"/>
  <c r="N43" i="5"/>
  <c r="M43" i="5"/>
  <c r="L43" i="5"/>
  <c r="K43" i="5"/>
  <c r="AC42" i="5"/>
  <c r="Z42" i="5"/>
  <c r="Y42" i="5"/>
  <c r="AA42" i="5" s="1"/>
  <c r="W42" i="5"/>
  <c r="AD42" i="5" s="1"/>
  <c r="N42" i="5"/>
  <c r="M42" i="5"/>
  <c r="L42" i="5"/>
  <c r="K42" i="5"/>
  <c r="AC41" i="5"/>
  <c r="Z41" i="5"/>
  <c r="Y41" i="5"/>
  <c r="AA41" i="5" s="1"/>
  <c r="W41" i="5"/>
  <c r="AD41" i="5" s="1"/>
  <c r="N41" i="5"/>
  <c r="M41" i="5"/>
  <c r="L41" i="5"/>
  <c r="K41" i="5"/>
  <c r="AC40" i="5"/>
  <c r="Z40" i="5"/>
  <c r="Y40" i="5"/>
  <c r="AA40" i="5" s="1"/>
  <c r="W40" i="5"/>
  <c r="N40" i="5"/>
  <c r="M40" i="5"/>
  <c r="L40" i="5"/>
  <c r="K40" i="5"/>
  <c r="AC39" i="5"/>
  <c r="Z39" i="5"/>
  <c r="Y39" i="5"/>
  <c r="AA39" i="5" s="1"/>
  <c r="W39" i="5"/>
  <c r="AD39" i="5" s="1"/>
  <c r="N39" i="5"/>
  <c r="M39" i="5"/>
  <c r="L39" i="5"/>
  <c r="K39" i="5"/>
  <c r="AC38" i="5"/>
  <c r="Z38" i="5"/>
  <c r="Y38" i="5"/>
  <c r="AA38" i="5" s="1"/>
  <c r="W38" i="5"/>
  <c r="AD38" i="5" s="1"/>
  <c r="N38" i="5"/>
  <c r="M38" i="5"/>
  <c r="L38" i="5"/>
  <c r="K38" i="5"/>
  <c r="AC37" i="5"/>
  <c r="Z37" i="5"/>
  <c r="Y37" i="5"/>
  <c r="AA37" i="5" s="1"/>
  <c r="W37" i="5"/>
  <c r="AD37" i="5" s="1"/>
  <c r="N37" i="5"/>
  <c r="M37" i="5"/>
  <c r="L37" i="5"/>
  <c r="K37" i="5"/>
  <c r="AC36" i="5"/>
  <c r="Z36" i="5"/>
  <c r="Y36" i="5"/>
  <c r="AA36" i="5" s="1"/>
  <c r="W36" i="5"/>
  <c r="AD36" i="5" s="1"/>
  <c r="N36" i="5"/>
  <c r="M36" i="5"/>
  <c r="L36" i="5"/>
  <c r="K36" i="5"/>
  <c r="AC35" i="5"/>
  <c r="Z35" i="5"/>
  <c r="Y35" i="5"/>
  <c r="AA35" i="5" s="1"/>
  <c r="W35" i="5"/>
  <c r="N35" i="5"/>
  <c r="M35" i="5"/>
  <c r="L35" i="5"/>
  <c r="K35" i="5"/>
  <c r="AC34" i="5"/>
  <c r="Z34" i="5"/>
  <c r="Y34" i="5"/>
  <c r="AA34" i="5" s="1"/>
  <c r="W34" i="5"/>
  <c r="AD34" i="5" s="1"/>
  <c r="N34" i="5"/>
  <c r="M34" i="5"/>
  <c r="L34" i="5"/>
  <c r="K34" i="5"/>
  <c r="AC33" i="5"/>
  <c r="Z33" i="5"/>
  <c r="Y33" i="5"/>
  <c r="AA33" i="5" s="1"/>
  <c r="W33" i="5"/>
  <c r="AD33" i="5" s="1"/>
  <c r="N33" i="5"/>
  <c r="M33" i="5"/>
  <c r="L33" i="5"/>
  <c r="K33" i="5"/>
  <c r="AC32" i="5"/>
  <c r="Z32" i="5"/>
  <c r="Y32" i="5"/>
  <c r="AA32" i="5" s="1"/>
  <c r="W32" i="5"/>
  <c r="AD32" i="5" s="1"/>
  <c r="N32" i="5"/>
  <c r="M32" i="5"/>
  <c r="L32" i="5"/>
  <c r="K32" i="5"/>
  <c r="AC31" i="5"/>
  <c r="Z31" i="5"/>
  <c r="Y31" i="5"/>
  <c r="AA31" i="5" s="1"/>
  <c r="W31" i="5"/>
  <c r="AD31" i="5" s="1"/>
  <c r="N31" i="5"/>
  <c r="M31" i="5"/>
  <c r="L31" i="5"/>
  <c r="K31" i="5"/>
  <c r="AC30" i="5"/>
  <c r="Z30" i="5"/>
  <c r="Y30" i="5"/>
  <c r="AA30" i="5" s="1"/>
  <c r="W30" i="5"/>
  <c r="AD30" i="5" s="1"/>
  <c r="N30" i="5"/>
  <c r="M30" i="5"/>
  <c r="L30" i="5"/>
  <c r="K30" i="5"/>
  <c r="AC29" i="5"/>
  <c r="Z29" i="5"/>
  <c r="Y29" i="5"/>
  <c r="AA29" i="5" s="1"/>
  <c r="W29" i="5"/>
  <c r="AD29" i="5" s="1"/>
  <c r="N29" i="5"/>
  <c r="M29" i="5"/>
  <c r="L29" i="5"/>
  <c r="K29" i="5"/>
  <c r="AC28" i="5"/>
  <c r="Z28" i="5"/>
  <c r="Y28" i="5"/>
  <c r="AA28" i="5" s="1"/>
  <c r="W28" i="5"/>
  <c r="AD28" i="5" s="1"/>
  <c r="N28" i="5"/>
  <c r="M28" i="5"/>
  <c r="L28" i="5"/>
  <c r="K28" i="5"/>
  <c r="AC27" i="5"/>
  <c r="Z27" i="5"/>
  <c r="Y27" i="5"/>
  <c r="AA27" i="5" s="1"/>
  <c r="W27" i="5"/>
  <c r="N27" i="5"/>
  <c r="M27" i="5"/>
  <c r="L27" i="5"/>
  <c r="K27" i="5"/>
  <c r="AC26" i="5"/>
  <c r="Z26" i="5"/>
  <c r="Y26" i="5"/>
  <c r="AA26" i="5" s="1"/>
  <c r="W26" i="5"/>
  <c r="N26" i="5"/>
  <c r="M26" i="5"/>
  <c r="L26" i="5"/>
  <c r="K26" i="5"/>
  <c r="AC25" i="5"/>
  <c r="Z25" i="5"/>
  <c r="Y25" i="5"/>
  <c r="AA25" i="5" s="1"/>
  <c r="W25" i="5"/>
  <c r="AD25" i="5" s="1"/>
  <c r="N25" i="5"/>
  <c r="M25" i="5"/>
  <c r="L25" i="5"/>
  <c r="K25" i="5"/>
  <c r="AC24" i="5"/>
  <c r="Z24" i="5"/>
  <c r="Y24" i="5"/>
  <c r="AA24" i="5" s="1"/>
  <c r="W24" i="5"/>
  <c r="AD24" i="5" s="1"/>
  <c r="AC23" i="5"/>
  <c r="Z23" i="5"/>
  <c r="Y23" i="5"/>
  <c r="W23" i="5"/>
  <c r="AC22" i="5"/>
  <c r="Z22" i="5"/>
  <c r="Y22" i="5"/>
  <c r="W22" i="5"/>
  <c r="AC21" i="5"/>
  <c r="Z21" i="5"/>
  <c r="Y21" i="5"/>
  <c r="W21" i="5"/>
  <c r="AC20" i="5"/>
  <c r="Z20" i="5"/>
  <c r="Y20" i="5"/>
  <c r="W20" i="5"/>
  <c r="AC19" i="5"/>
  <c r="Z19" i="5"/>
  <c r="Y19" i="5"/>
  <c r="W19" i="5"/>
  <c r="AC18" i="5"/>
  <c r="Z18" i="5"/>
  <c r="Y18" i="5"/>
  <c r="W18" i="5"/>
  <c r="AC17" i="5"/>
  <c r="Z17" i="5"/>
  <c r="Y17" i="5"/>
  <c r="W17" i="5"/>
  <c r="AC16" i="5"/>
  <c r="Z16" i="5"/>
  <c r="Y16" i="5"/>
  <c r="W16" i="5"/>
  <c r="AC15" i="5"/>
  <c r="Z15" i="5"/>
  <c r="Y15" i="5"/>
  <c r="W15" i="5"/>
  <c r="AC14" i="5"/>
  <c r="Z14" i="5"/>
  <c r="Y14" i="5"/>
  <c r="W14" i="5"/>
  <c r="AC13" i="5"/>
  <c r="Z13" i="5"/>
  <c r="Y13" i="5"/>
  <c r="W13" i="5"/>
  <c r="AC12" i="5"/>
  <c r="Z12" i="5"/>
  <c r="Y12" i="5"/>
  <c r="W12" i="5"/>
  <c r="AC11" i="5"/>
  <c r="Z11" i="5"/>
  <c r="Y11" i="5"/>
  <c r="W11" i="5"/>
  <c r="L11" i="5"/>
  <c r="N11" i="5" s="1"/>
  <c r="AC10" i="5"/>
  <c r="Z10" i="5"/>
  <c r="Y10" i="5"/>
  <c r="AA10" i="5" s="1"/>
  <c r="W10" i="5"/>
  <c r="AC9" i="5"/>
  <c r="Z9" i="5"/>
  <c r="Y9" i="5"/>
  <c r="W9" i="5"/>
  <c r="L9" i="5"/>
  <c r="N9" i="5" s="1"/>
  <c r="AC8" i="5"/>
  <c r="Z8" i="5"/>
  <c r="Y8" i="5"/>
  <c r="AA8" i="5" s="1"/>
  <c r="W8" i="5"/>
  <c r="AD8" i="5" s="1"/>
  <c r="K9" i="5" s="1"/>
  <c r="M9" i="5" s="1"/>
  <c r="AC7" i="5"/>
  <c r="Z7" i="5"/>
  <c r="Y7" i="5"/>
  <c r="W7" i="5"/>
  <c r="N7" i="5"/>
  <c r="M7" i="5"/>
  <c r="L7" i="5"/>
  <c r="K7" i="5"/>
  <c r="AC126" i="4"/>
  <c r="Z126" i="4"/>
  <c r="Y126" i="4"/>
  <c r="AA126" i="4" s="1"/>
  <c r="W126" i="4"/>
  <c r="AD126" i="4" s="1"/>
  <c r="AC125" i="4"/>
  <c r="Z125" i="4"/>
  <c r="Y125" i="4"/>
  <c r="AA125" i="4" s="1"/>
  <c r="W125" i="4"/>
  <c r="AD125" i="4" s="1"/>
  <c r="AC124" i="4"/>
  <c r="Z124" i="4"/>
  <c r="Y124" i="4"/>
  <c r="AA124" i="4" s="1"/>
  <c r="W124" i="4"/>
  <c r="AD124" i="4" s="1"/>
  <c r="AC123" i="4"/>
  <c r="Z123" i="4"/>
  <c r="Y123" i="4"/>
  <c r="AA123" i="4" s="1"/>
  <c r="W123" i="4"/>
  <c r="AD123" i="4" s="1"/>
  <c r="AC122" i="4"/>
  <c r="Z122" i="4"/>
  <c r="Y122" i="4"/>
  <c r="AA122" i="4" s="1"/>
  <c r="W122" i="4"/>
  <c r="AD122" i="4" s="1"/>
  <c r="AC121" i="4"/>
  <c r="Z121" i="4"/>
  <c r="Y121" i="4"/>
  <c r="AA121" i="4" s="1"/>
  <c r="W121" i="4"/>
  <c r="AD121" i="4" s="1"/>
  <c r="AC120" i="4"/>
  <c r="Z120" i="4"/>
  <c r="Y120" i="4"/>
  <c r="AA120" i="4" s="1"/>
  <c r="W120" i="4"/>
  <c r="AD120" i="4" s="1"/>
  <c r="AC119" i="4"/>
  <c r="Z119" i="4"/>
  <c r="Y119" i="4"/>
  <c r="AA119" i="4" s="1"/>
  <c r="W119" i="4"/>
  <c r="AD119" i="4" s="1"/>
  <c r="AC118" i="4"/>
  <c r="Z118" i="4"/>
  <c r="Y118" i="4"/>
  <c r="AA118" i="4" s="1"/>
  <c r="W118" i="4"/>
  <c r="AD118" i="4" s="1"/>
  <c r="AC117" i="4"/>
  <c r="Z117" i="4"/>
  <c r="Y117" i="4"/>
  <c r="AA117" i="4" s="1"/>
  <c r="W117" i="4"/>
  <c r="AD117" i="4" s="1"/>
  <c r="AC116" i="4"/>
  <c r="Z116" i="4"/>
  <c r="Y116" i="4"/>
  <c r="AA116" i="4" s="1"/>
  <c r="W116" i="4"/>
  <c r="AD116" i="4" s="1"/>
  <c r="AC115" i="4"/>
  <c r="Z115" i="4"/>
  <c r="Y115" i="4"/>
  <c r="AA115" i="4" s="1"/>
  <c r="W115" i="4"/>
  <c r="AD115" i="4" s="1"/>
  <c r="AC114" i="4"/>
  <c r="Z114" i="4"/>
  <c r="Y114" i="4"/>
  <c r="AA114" i="4" s="1"/>
  <c r="W114" i="4"/>
  <c r="AD114" i="4" s="1"/>
  <c r="AC113" i="4"/>
  <c r="Z113" i="4"/>
  <c r="Y113" i="4"/>
  <c r="AA113" i="4" s="1"/>
  <c r="W113" i="4"/>
  <c r="AD113" i="4" s="1"/>
  <c r="AC112" i="4"/>
  <c r="Z112" i="4"/>
  <c r="Y112" i="4"/>
  <c r="AA112" i="4" s="1"/>
  <c r="W112" i="4"/>
  <c r="AD112" i="4" s="1"/>
  <c r="AC111" i="4"/>
  <c r="Z111" i="4"/>
  <c r="Y111" i="4"/>
  <c r="AA111" i="4" s="1"/>
  <c r="W111" i="4"/>
  <c r="AD111" i="4" s="1"/>
  <c r="AC110" i="4"/>
  <c r="Z110" i="4"/>
  <c r="Y110" i="4"/>
  <c r="AA110" i="4" s="1"/>
  <c r="W110" i="4"/>
  <c r="AD110" i="4" s="1"/>
  <c r="AC109" i="4"/>
  <c r="Z109" i="4"/>
  <c r="Y109" i="4"/>
  <c r="AA109" i="4" s="1"/>
  <c r="W109" i="4"/>
  <c r="AD109" i="4" s="1"/>
  <c r="AC108" i="4"/>
  <c r="Z108" i="4"/>
  <c r="AA108" i="4" s="1"/>
  <c r="AD108" i="4" s="1"/>
  <c r="Y108" i="4"/>
  <c r="W108" i="4"/>
  <c r="AC107" i="4"/>
  <c r="Z107" i="4"/>
  <c r="Y107" i="4"/>
  <c r="AA107" i="4" s="1"/>
  <c r="W107" i="4"/>
  <c r="AD107" i="4" s="1"/>
  <c r="AC106" i="4"/>
  <c r="Z106" i="4"/>
  <c r="Y106" i="4"/>
  <c r="AA106" i="4" s="1"/>
  <c r="W106" i="4"/>
  <c r="AD106" i="4" s="1"/>
  <c r="AC105" i="4"/>
  <c r="Z105" i="4"/>
  <c r="Y105" i="4"/>
  <c r="AA105" i="4" s="1"/>
  <c r="W105" i="4"/>
  <c r="AD105" i="4" s="1"/>
  <c r="AC104" i="4"/>
  <c r="Z104" i="4"/>
  <c r="Y104" i="4"/>
  <c r="AA104" i="4" s="1"/>
  <c r="W104" i="4"/>
  <c r="AD104" i="4" s="1"/>
  <c r="AC103" i="4"/>
  <c r="Z103" i="4"/>
  <c r="Y103" i="4"/>
  <c r="AA103" i="4" s="1"/>
  <c r="W103" i="4"/>
  <c r="AD103" i="4" s="1"/>
  <c r="AC102" i="4"/>
  <c r="Z102" i="4"/>
  <c r="Y102" i="4"/>
  <c r="AA102" i="4" s="1"/>
  <c r="W102" i="4"/>
  <c r="AD102" i="4" s="1"/>
  <c r="AC101" i="4"/>
  <c r="Z101" i="4"/>
  <c r="Y101" i="4"/>
  <c r="AA101" i="4" s="1"/>
  <c r="W101" i="4"/>
  <c r="AD101" i="4" s="1"/>
  <c r="AC100" i="4"/>
  <c r="Z100" i="4"/>
  <c r="Y100" i="4"/>
  <c r="AA100" i="4" s="1"/>
  <c r="W100" i="4"/>
  <c r="AD100" i="4" s="1"/>
  <c r="AC99" i="4"/>
  <c r="Z99" i="4"/>
  <c r="Y99" i="4"/>
  <c r="AA99" i="4" s="1"/>
  <c r="W99" i="4"/>
  <c r="AD99" i="4" s="1"/>
  <c r="AC98" i="4"/>
  <c r="Z98" i="4"/>
  <c r="Y98" i="4"/>
  <c r="AA98" i="4" s="1"/>
  <c r="W98" i="4"/>
  <c r="AD98" i="4" s="1"/>
  <c r="AC97" i="4"/>
  <c r="Z97" i="4"/>
  <c r="Y97" i="4"/>
  <c r="AA97" i="4" s="1"/>
  <c r="W97" i="4"/>
  <c r="AD97" i="4" s="1"/>
  <c r="AC96" i="4"/>
  <c r="Z96" i="4"/>
  <c r="Y96" i="4"/>
  <c r="AA96" i="4" s="1"/>
  <c r="W96" i="4"/>
  <c r="AC95" i="4"/>
  <c r="Z95" i="4"/>
  <c r="Y95" i="4"/>
  <c r="AA95" i="4" s="1"/>
  <c r="W95" i="4"/>
  <c r="AD95" i="4" s="1"/>
  <c r="AC94" i="4"/>
  <c r="Z94" i="4"/>
  <c r="Y94" i="4"/>
  <c r="AA94" i="4" s="1"/>
  <c r="W94" i="4"/>
  <c r="AC93" i="4"/>
  <c r="Z93" i="4"/>
  <c r="Y93" i="4"/>
  <c r="AA93" i="4" s="1"/>
  <c r="W93" i="4"/>
  <c r="AD93" i="4" s="1"/>
  <c r="AC92" i="4"/>
  <c r="Z92" i="4"/>
  <c r="Y92" i="4"/>
  <c r="AA92" i="4" s="1"/>
  <c r="W92" i="4"/>
  <c r="AD92" i="4" s="1"/>
  <c r="AC91" i="4"/>
  <c r="Z91" i="4"/>
  <c r="Y91" i="4"/>
  <c r="AA91" i="4" s="1"/>
  <c r="W91" i="4"/>
  <c r="AD91" i="4" s="1"/>
  <c r="AC90" i="4"/>
  <c r="Z90" i="4"/>
  <c r="Y90" i="4"/>
  <c r="AA90" i="4" s="1"/>
  <c r="W90" i="4"/>
  <c r="AC89" i="4"/>
  <c r="Z89" i="4"/>
  <c r="Y89" i="4"/>
  <c r="AA89" i="4" s="1"/>
  <c r="W89" i="4"/>
  <c r="AD89" i="4" s="1"/>
  <c r="AC88" i="4"/>
  <c r="Z88" i="4"/>
  <c r="Y88" i="4"/>
  <c r="AA88" i="4" s="1"/>
  <c r="W88" i="4"/>
  <c r="AD88" i="4" s="1"/>
  <c r="AC87" i="4"/>
  <c r="Z87" i="4"/>
  <c r="Y87" i="4"/>
  <c r="AA87" i="4" s="1"/>
  <c r="W87" i="4"/>
  <c r="AD87" i="4" s="1"/>
  <c r="AC86" i="4"/>
  <c r="Z86" i="4"/>
  <c r="Y86" i="4"/>
  <c r="AA86" i="4" s="1"/>
  <c r="W86" i="4"/>
  <c r="AD86" i="4" s="1"/>
  <c r="AC85" i="4"/>
  <c r="Z85" i="4"/>
  <c r="Y85" i="4"/>
  <c r="AA85" i="4" s="1"/>
  <c r="W85" i="4"/>
  <c r="AD85" i="4" s="1"/>
  <c r="AC84" i="4"/>
  <c r="Z84" i="4"/>
  <c r="Y84" i="4"/>
  <c r="AA84" i="4" s="1"/>
  <c r="W84" i="4"/>
  <c r="AD84" i="4" s="1"/>
  <c r="AC83" i="4"/>
  <c r="Z83" i="4"/>
  <c r="Y83" i="4"/>
  <c r="AA83" i="4" s="1"/>
  <c r="W83" i="4"/>
  <c r="AD83" i="4" s="1"/>
  <c r="AC82" i="4"/>
  <c r="Z82" i="4"/>
  <c r="Y82" i="4"/>
  <c r="AA82" i="4" s="1"/>
  <c r="W82" i="4"/>
  <c r="AD82" i="4" s="1"/>
  <c r="AC81" i="4"/>
  <c r="Z81" i="4"/>
  <c r="Y81" i="4"/>
  <c r="AA81" i="4" s="1"/>
  <c r="W81" i="4"/>
  <c r="AD81" i="4" s="1"/>
  <c r="AC80" i="4"/>
  <c r="Z80" i="4"/>
  <c r="Y80" i="4"/>
  <c r="AA80" i="4" s="1"/>
  <c r="W80" i="4"/>
  <c r="AD80" i="4" s="1"/>
  <c r="AC79" i="4"/>
  <c r="Z79" i="4"/>
  <c r="Y79" i="4"/>
  <c r="AA79" i="4" s="1"/>
  <c r="W79" i="4"/>
  <c r="AD79" i="4" s="1"/>
  <c r="AC78" i="4"/>
  <c r="Z78" i="4"/>
  <c r="Y78" i="4"/>
  <c r="AA78" i="4" s="1"/>
  <c r="W78" i="4"/>
  <c r="AD78" i="4" s="1"/>
  <c r="AC77" i="4"/>
  <c r="Z77" i="4"/>
  <c r="Y77" i="4"/>
  <c r="AA77" i="4" s="1"/>
  <c r="W77" i="4"/>
  <c r="AD77" i="4" s="1"/>
  <c r="AC76" i="4"/>
  <c r="Z76" i="4"/>
  <c r="Y76" i="4"/>
  <c r="AA76" i="4" s="1"/>
  <c r="W76" i="4"/>
  <c r="AC75" i="4"/>
  <c r="Z75" i="4"/>
  <c r="Y75" i="4"/>
  <c r="AA75" i="4" s="1"/>
  <c r="W75" i="4"/>
  <c r="AD75" i="4" s="1"/>
  <c r="AC74" i="4"/>
  <c r="Z74" i="4"/>
  <c r="Y74" i="4"/>
  <c r="AA74" i="4" s="1"/>
  <c r="W74" i="4"/>
  <c r="AC73" i="4"/>
  <c r="Z73" i="4"/>
  <c r="Y73" i="4"/>
  <c r="AA73" i="4" s="1"/>
  <c r="W73" i="4"/>
  <c r="AD73" i="4" s="1"/>
  <c r="AC72" i="4"/>
  <c r="Z72" i="4"/>
  <c r="Y72" i="4"/>
  <c r="AA72" i="4" s="1"/>
  <c r="W72" i="4"/>
  <c r="AC71" i="4"/>
  <c r="Z71" i="4"/>
  <c r="Y71" i="4"/>
  <c r="AA71" i="4" s="1"/>
  <c r="W71" i="4"/>
  <c r="AD71" i="4" s="1"/>
  <c r="AC70" i="4"/>
  <c r="Z70" i="4"/>
  <c r="Y70" i="4"/>
  <c r="AA70" i="4" s="1"/>
  <c r="W70" i="4"/>
  <c r="AD70" i="4" s="1"/>
  <c r="AC69" i="4"/>
  <c r="Z69" i="4"/>
  <c r="Y69" i="4"/>
  <c r="AA69" i="4" s="1"/>
  <c r="W69" i="4"/>
  <c r="AD69" i="4" s="1"/>
  <c r="AC68" i="4"/>
  <c r="Z68" i="4"/>
  <c r="Y68" i="4"/>
  <c r="AA68" i="4" s="1"/>
  <c r="W68" i="4"/>
  <c r="AD68" i="4" s="1"/>
  <c r="AC67" i="4"/>
  <c r="Z67" i="4"/>
  <c r="Y67" i="4"/>
  <c r="AA67" i="4" s="1"/>
  <c r="W67" i="4"/>
  <c r="AD67" i="4" s="1"/>
  <c r="AC66" i="4"/>
  <c r="Z66" i="4"/>
  <c r="Y66" i="4"/>
  <c r="AA66" i="4" s="1"/>
  <c r="W66" i="4"/>
  <c r="AD66" i="4" s="1"/>
  <c r="AC65" i="4"/>
  <c r="Z65" i="4"/>
  <c r="Y65" i="4"/>
  <c r="AA65" i="4" s="1"/>
  <c r="W65" i="4"/>
  <c r="AC64" i="4"/>
  <c r="Z64" i="4"/>
  <c r="Y64" i="4"/>
  <c r="AA64" i="4" s="1"/>
  <c r="W64" i="4"/>
  <c r="AD64" i="4" s="1"/>
  <c r="AC63" i="4"/>
  <c r="Z63" i="4"/>
  <c r="Y63" i="4"/>
  <c r="AA63" i="4" s="1"/>
  <c r="W63" i="4"/>
  <c r="AD63" i="4" s="1"/>
  <c r="AC62" i="4"/>
  <c r="Z62" i="4"/>
  <c r="Y62" i="4"/>
  <c r="AA62" i="4" s="1"/>
  <c r="W62" i="4"/>
  <c r="AD62" i="4" s="1"/>
  <c r="AC61" i="4"/>
  <c r="Z61" i="4"/>
  <c r="Y61" i="4"/>
  <c r="AA61" i="4" s="1"/>
  <c r="W61" i="4"/>
  <c r="AC60" i="4"/>
  <c r="Z60" i="4"/>
  <c r="Y60" i="4"/>
  <c r="AA60" i="4" s="1"/>
  <c r="W60" i="4"/>
  <c r="AD60" i="4" s="1"/>
  <c r="AC59" i="4"/>
  <c r="Z59" i="4"/>
  <c r="Y59" i="4"/>
  <c r="AA59" i="4" s="1"/>
  <c r="W59" i="4"/>
  <c r="AC58" i="4"/>
  <c r="Z58" i="4"/>
  <c r="Y58" i="4"/>
  <c r="AA58" i="4" s="1"/>
  <c r="W58" i="4"/>
  <c r="AC57" i="4"/>
  <c r="Z57" i="4"/>
  <c r="Y57" i="4"/>
  <c r="AA57" i="4" s="1"/>
  <c r="W57" i="4"/>
  <c r="AC56" i="4"/>
  <c r="Z56" i="4"/>
  <c r="Y56" i="4"/>
  <c r="AA56" i="4" s="1"/>
  <c r="W56" i="4"/>
  <c r="AD56" i="4" s="1"/>
  <c r="AC55" i="4"/>
  <c r="Z55" i="4"/>
  <c r="Y55" i="4"/>
  <c r="AA55" i="4" s="1"/>
  <c r="W55" i="4"/>
  <c r="AD55" i="4" s="1"/>
  <c r="AC54" i="4"/>
  <c r="Z54" i="4"/>
  <c r="Y54" i="4"/>
  <c r="AA54" i="4" s="1"/>
  <c r="W54" i="4"/>
  <c r="AD54" i="4" s="1"/>
  <c r="AC53" i="4"/>
  <c r="Z53" i="4"/>
  <c r="Y53" i="4"/>
  <c r="AA53" i="4" s="1"/>
  <c r="W53" i="4"/>
  <c r="AD53" i="4" s="1"/>
  <c r="AC52" i="4"/>
  <c r="Z52" i="4"/>
  <c r="Y52" i="4"/>
  <c r="AA52" i="4" s="1"/>
  <c r="W52" i="4"/>
  <c r="AD52" i="4" s="1"/>
  <c r="AC51" i="4"/>
  <c r="Z51" i="4"/>
  <c r="Y51" i="4"/>
  <c r="AA51" i="4" s="1"/>
  <c r="W51" i="4"/>
  <c r="AD51" i="4" s="1"/>
  <c r="N51" i="4"/>
  <c r="M51" i="4"/>
  <c r="L51" i="4"/>
  <c r="K51" i="4"/>
  <c r="AC50" i="4"/>
  <c r="Z50" i="4"/>
  <c r="Y50" i="4"/>
  <c r="AA50" i="4" s="1"/>
  <c r="W50" i="4"/>
  <c r="AD50" i="4" s="1"/>
  <c r="N50" i="4"/>
  <c r="M50" i="4"/>
  <c r="L50" i="4"/>
  <c r="K50" i="4"/>
  <c r="AC49" i="4"/>
  <c r="Z49" i="4"/>
  <c r="Y49" i="4"/>
  <c r="AA49" i="4" s="1"/>
  <c r="W49" i="4"/>
  <c r="AD49" i="4" s="1"/>
  <c r="N49" i="4"/>
  <c r="M49" i="4"/>
  <c r="L49" i="4"/>
  <c r="K49" i="4"/>
  <c r="AC48" i="4"/>
  <c r="Z48" i="4"/>
  <c r="Y48" i="4"/>
  <c r="AA48" i="4" s="1"/>
  <c r="W48" i="4"/>
  <c r="AD48" i="4" s="1"/>
  <c r="N48" i="4"/>
  <c r="M48" i="4"/>
  <c r="L48" i="4"/>
  <c r="K48" i="4"/>
  <c r="AC47" i="4"/>
  <c r="Z47" i="4"/>
  <c r="Y47" i="4"/>
  <c r="AA47" i="4" s="1"/>
  <c r="W47" i="4"/>
  <c r="AD47" i="4" s="1"/>
  <c r="N47" i="4"/>
  <c r="M47" i="4"/>
  <c r="L47" i="4"/>
  <c r="K47" i="4"/>
  <c r="AC46" i="4"/>
  <c r="Z46" i="4"/>
  <c r="Y46" i="4"/>
  <c r="AA46" i="4" s="1"/>
  <c r="W46" i="4"/>
  <c r="AD46" i="4" s="1"/>
  <c r="N46" i="4"/>
  <c r="M46" i="4"/>
  <c r="L46" i="4"/>
  <c r="K46" i="4"/>
  <c r="AC45" i="4"/>
  <c r="Z45" i="4"/>
  <c r="Y45" i="4"/>
  <c r="AA45" i="4" s="1"/>
  <c r="W45" i="4"/>
  <c r="AD45" i="4" s="1"/>
  <c r="N45" i="4"/>
  <c r="M45" i="4"/>
  <c r="L45" i="4"/>
  <c r="K45" i="4"/>
  <c r="AC44" i="4"/>
  <c r="Z44" i="4"/>
  <c r="Y44" i="4"/>
  <c r="AA44" i="4" s="1"/>
  <c r="W44" i="4"/>
  <c r="N44" i="4"/>
  <c r="M44" i="4"/>
  <c r="L44" i="4"/>
  <c r="K44" i="4"/>
  <c r="AC43" i="4"/>
  <c r="Z43" i="4"/>
  <c r="Y43" i="4"/>
  <c r="AA43" i="4" s="1"/>
  <c r="W43" i="4"/>
  <c r="AD43" i="4" s="1"/>
  <c r="N43" i="4"/>
  <c r="M43" i="4"/>
  <c r="L43" i="4"/>
  <c r="K43" i="4"/>
  <c r="AC42" i="4"/>
  <c r="Z42" i="4"/>
  <c r="Y42" i="4"/>
  <c r="AA42" i="4" s="1"/>
  <c r="W42" i="4"/>
  <c r="AD42" i="4" s="1"/>
  <c r="N42" i="4"/>
  <c r="M42" i="4"/>
  <c r="L42" i="4"/>
  <c r="K42" i="4"/>
  <c r="AC41" i="4"/>
  <c r="Z41" i="4"/>
  <c r="Y41" i="4"/>
  <c r="AA41" i="4" s="1"/>
  <c r="W41" i="4"/>
  <c r="AD41" i="4" s="1"/>
  <c r="N41" i="4"/>
  <c r="M41" i="4"/>
  <c r="L41" i="4"/>
  <c r="K41" i="4"/>
  <c r="AC40" i="4"/>
  <c r="Z40" i="4"/>
  <c r="Y40" i="4"/>
  <c r="AA40" i="4" s="1"/>
  <c r="W40" i="4"/>
  <c r="AD40" i="4" s="1"/>
  <c r="N40" i="4"/>
  <c r="M40" i="4"/>
  <c r="L40" i="4"/>
  <c r="K40" i="4"/>
  <c r="AC39" i="4"/>
  <c r="Z39" i="4"/>
  <c r="Y39" i="4"/>
  <c r="AA39" i="4" s="1"/>
  <c r="W39" i="4"/>
  <c r="AD39" i="4" s="1"/>
  <c r="N39" i="4"/>
  <c r="M39" i="4"/>
  <c r="L39" i="4"/>
  <c r="K39" i="4"/>
  <c r="AC38" i="4"/>
  <c r="Z38" i="4"/>
  <c r="Y38" i="4"/>
  <c r="AA38" i="4" s="1"/>
  <c r="W38" i="4"/>
  <c r="N38" i="4"/>
  <c r="M38" i="4"/>
  <c r="L38" i="4"/>
  <c r="K38" i="4"/>
  <c r="AC37" i="4"/>
  <c r="Z37" i="4"/>
  <c r="Y37" i="4"/>
  <c r="AA37" i="4" s="1"/>
  <c r="W37" i="4"/>
  <c r="AD37" i="4" s="1"/>
  <c r="N37" i="4"/>
  <c r="M37" i="4"/>
  <c r="L37" i="4"/>
  <c r="K37" i="4"/>
  <c r="AC36" i="4"/>
  <c r="Z36" i="4"/>
  <c r="Y36" i="4"/>
  <c r="AA36" i="4" s="1"/>
  <c r="W36" i="4"/>
  <c r="AD36" i="4" s="1"/>
  <c r="N36" i="4"/>
  <c r="M36" i="4"/>
  <c r="L36" i="4"/>
  <c r="K36" i="4"/>
  <c r="AC35" i="4"/>
  <c r="Z35" i="4"/>
  <c r="Y35" i="4"/>
  <c r="AA35" i="4" s="1"/>
  <c r="W35" i="4"/>
  <c r="AD35" i="4" s="1"/>
  <c r="N35" i="4"/>
  <c r="M35" i="4"/>
  <c r="L35" i="4"/>
  <c r="K35" i="4"/>
  <c r="AC34" i="4"/>
  <c r="Z34" i="4"/>
  <c r="Y34" i="4"/>
  <c r="AA34" i="4" s="1"/>
  <c r="W34" i="4"/>
  <c r="AD34" i="4" s="1"/>
  <c r="N34" i="4"/>
  <c r="M34" i="4"/>
  <c r="L34" i="4"/>
  <c r="K34" i="4"/>
  <c r="AC33" i="4"/>
  <c r="Z33" i="4"/>
  <c r="Y33" i="4"/>
  <c r="AA33" i="4" s="1"/>
  <c r="W33" i="4"/>
  <c r="AD33" i="4" s="1"/>
  <c r="N33" i="4"/>
  <c r="M33" i="4"/>
  <c r="L33" i="4"/>
  <c r="K33" i="4"/>
  <c r="AC32" i="4"/>
  <c r="Z32" i="4"/>
  <c r="Y32" i="4"/>
  <c r="AA32" i="4" s="1"/>
  <c r="W32" i="4"/>
  <c r="AD32" i="4" s="1"/>
  <c r="N32" i="4"/>
  <c r="M32" i="4"/>
  <c r="L32" i="4"/>
  <c r="K32" i="4"/>
  <c r="AC31" i="4"/>
  <c r="Z31" i="4"/>
  <c r="Y31" i="4"/>
  <c r="AA31" i="4" s="1"/>
  <c r="W31" i="4"/>
  <c r="AD31" i="4" s="1"/>
  <c r="N31" i="4"/>
  <c r="M31" i="4"/>
  <c r="L31" i="4"/>
  <c r="K31" i="4"/>
  <c r="AC30" i="4"/>
  <c r="Z30" i="4"/>
  <c r="Y30" i="4"/>
  <c r="AA30" i="4" s="1"/>
  <c r="W30" i="4"/>
  <c r="AD30" i="4" s="1"/>
  <c r="N30" i="4"/>
  <c r="M30" i="4"/>
  <c r="L30" i="4"/>
  <c r="K30" i="4"/>
  <c r="AC29" i="4"/>
  <c r="Z29" i="4"/>
  <c r="Y29" i="4"/>
  <c r="AA29" i="4" s="1"/>
  <c r="W29" i="4"/>
  <c r="AD29" i="4" s="1"/>
  <c r="N29" i="4"/>
  <c r="M29" i="4"/>
  <c r="L29" i="4"/>
  <c r="K29" i="4"/>
  <c r="AC28" i="4"/>
  <c r="Z28" i="4"/>
  <c r="Y28" i="4"/>
  <c r="AA28" i="4" s="1"/>
  <c r="W28" i="4"/>
  <c r="AD28" i="4" s="1"/>
  <c r="N28" i="4"/>
  <c r="M28" i="4"/>
  <c r="L28" i="4"/>
  <c r="K28" i="4"/>
  <c r="AC27" i="4"/>
  <c r="Z27" i="4"/>
  <c r="Y27" i="4"/>
  <c r="AA27" i="4" s="1"/>
  <c r="W27" i="4"/>
  <c r="AD27" i="4" s="1"/>
  <c r="N27" i="4"/>
  <c r="M27" i="4"/>
  <c r="L27" i="4"/>
  <c r="K27" i="4"/>
  <c r="AC26" i="4"/>
  <c r="Z26" i="4"/>
  <c r="Y26" i="4"/>
  <c r="AA26" i="4" s="1"/>
  <c r="W26" i="4"/>
  <c r="AD26" i="4" s="1"/>
  <c r="N26" i="4"/>
  <c r="M26" i="4"/>
  <c r="L26" i="4"/>
  <c r="K26" i="4"/>
  <c r="AC25" i="4"/>
  <c r="Z25" i="4"/>
  <c r="Y25" i="4"/>
  <c r="AA25" i="4" s="1"/>
  <c r="W25" i="4"/>
  <c r="AD25" i="4" s="1"/>
  <c r="AC24" i="4"/>
  <c r="Z24" i="4"/>
  <c r="Y24" i="4"/>
  <c r="W24" i="4"/>
  <c r="AC23" i="4"/>
  <c r="Z23" i="4"/>
  <c r="Y23" i="4"/>
  <c r="W23" i="4"/>
  <c r="AC22" i="4"/>
  <c r="Z22" i="4"/>
  <c r="Y22" i="4"/>
  <c r="W22" i="4"/>
  <c r="AC21" i="4"/>
  <c r="Z21" i="4"/>
  <c r="Y21" i="4"/>
  <c r="W21" i="4"/>
  <c r="AC20" i="4"/>
  <c r="Z20" i="4"/>
  <c r="Y20" i="4"/>
  <c r="W20" i="4"/>
  <c r="AC19" i="4"/>
  <c r="Z19" i="4"/>
  <c r="Y19" i="4"/>
  <c r="W19" i="4"/>
  <c r="AC18" i="4"/>
  <c r="Z18" i="4"/>
  <c r="Y18" i="4"/>
  <c r="W18" i="4"/>
  <c r="AC17" i="4"/>
  <c r="Z17" i="4"/>
  <c r="Y17" i="4"/>
  <c r="W17" i="4"/>
  <c r="AC16" i="4"/>
  <c r="Z16" i="4"/>
  <c r="Y16" i="4"/>
  <c r="W16" i="4"/>
  <c r="L16" i="4"/>
  <c r="N16" i="4" s="1"/>
  <c r="AC15" i="4"/>
  <c r="Z15" i="4"/>
  <c r="Y15" i="4"/>
  <c r="AA15" i="4" s="1"/>
  <c r="W15" i="4"/>
  <c r="AD15" i="4" s="1"/>
  <c r="K16" i="4" s="1"/>
  <c r="M16" i="4" s="1"/>
  <c r="L15" i="4"/>
  <c r="N15" i="4" s="1"/>
  <c r="AC14" i="4"/>
  <c r="Z14" i="4"/>
  <c r="Y14" i="4"/>
  <c r="AA14" i="4" s="1"/>
  <c r="W14" i="4"/>
  <c r="AD14" i="4" s="1"/>
  <c r="K15" i="4" s="1"/>
  <c r="M15" i="4" s="1"/>
  <c r="AC13" i="4"/>
  <c r="Z13" i="4"/>
  <c r="Y13" i="4"/>
  <c r="W13" i="4"/>
  <c r="AC12" i="4"/>
  <c r="Z12" i="4"/>
  <c r="Y12" i="4"/>
  <c r="W12" i="4"/>
  <c r="L12" i="4"/>
  <c r="N12" i="4" s="1"/>
  <c r="AC11" i="4"/>
  <c r="Z11" i="4"/>
  <c r="Y11" i="4"/>
  <c r="AA11" i="4" s="1"/>
  <c r="W11" i="4"/>
  <c r="AD11" i="4" s="1"/>
  <c r="K12" i="4" s="1"/>
  <c r="M12" i="4" s="1"/>
  <c r="AC10" i="4"/>
  <c r="Z10" i="4"/>
  <c r="Y10" i="4"/>
  <c r="W10" i="4"/>
  <c r="AC9" i="4"/>
  <c r="Z9" i="4"/>
  <c r="Y9" i="4"/>
  <c r="W9" i="4"/>
  <c r="AC8" i="4"/>
  <c r="Z8" i="4"/>
  <c r="Y8" i="4"/>
  <c r="W8" i="4"/>
  <c r="AC7" i="4"/>
  <c r="Z7" i="4"/>
  <c r="Y7" i="4"/>
  <c r="W7" i="4"/>
  <c r="N7" i="4"/>
  <c r="M7" i="4"/>
  <c r="L7" i="4"/>
  <c r="K7" i="4"/>
  <c r="AC126" i="3"/>
  <c r="Z126" i="3"/>
  <c r="Y126" i="3"/>
  <c r="AA126" i="3" s="1"/>
  <c r="W126" i="3"/>
  <c r="AD126" i="3" s="1"/>
  <c r="AC125" i="3"/>
  <c r="Z125" i="3"/>
  <c r="Y125" i="3"/>
  <c r="AA125" i="3" s="1"/>
  <c r="W125" i="3"/>
  <c r="AD125" i="3" s="1"/>
  <c r="AC124" i="3"/>
  <c r="Z124" i="3"/>
  <c r="Y124" i="3"/>
  <c r="AA124" i="3" s="1"/>
  <c r="W124" i="3"/>
  <c r="AD124" i="3" s="1"/>
  <c r="AC123" i="3"/>
  <c r="Z123" i="3"/>
  <c r="Y123" i="3"/>
  <c r="AA123" i="3" s="1"/>
  <c r="W123" i="3"/>
  <c r="AD123" i="3" s="1"/>
  <c r="AC122" i="3"/>
  <c r="Z122" i="3"/>
  <c r="Y122" i="3"/>
  <c r="AA122" i="3" s="1"/>
  <c r="W122" i="3"/>
  <c r="AD122" i="3" s="1"/>
  <c r="AC121" i="3"/>
  <c r="Z121" i="3"/>
  <c r="Y121" i="3"/>
  <c r="AA121" i="3" s="1"/>
  <c r="W121" i="3"/>
  <c r="AD121" i="3" s="1"/>
  <c r="AC120" i="3"/>
  <c r="Z120" i="3"/>
  <c r="Y120" i="3"/>
  <c r="AA120" i="3" s="1"/>
  <c r="W120" i="3"/>
  <c r="AD120" i="3" s="1"/>
  <c r="AC119" i="3"/>
  <c r="Z119" i="3"/>
  <c r="Y119" i="3"/>
  <c r="AA119" i="3" s="1"/>
  <c r="W119" i="3"/>
  <c r="AD119" i="3" s="1"/>
  <c r="AC118" i="3"/>
  <c r="Z118" i="3"/>
  <c r="Y118" i="3"/>
  <c r="AA118" i="3" s="1"/>
  <c r="W118" i="3"/>
  <c r="AD118" i="3" s="1"/>
  <c r="AC117" i="3"/>
  <c r="Z117" i="3"/>
  <c r="Y117" i="3"/>
  <c r="AA117" i="3" s="1"/>
  <c r="AD117" i="3" s="1"/>
  <c r="W117" i="3"/>
  <c r="AC116" i="3"/>
  <c r="Z116" i="3"/>
  <c r="Y116" i="3"/>
  <c r="AA116" i="3" s="1"/>
  <c r="W116" i="3"/>
  <c r="AD116" i="3" s="1"/>
  <c r="AC115" i="3"/>
  <c r="Z115" i="3"/>
  <c r="Y115" i="3"/>
  <c r="AA115" i="3" s="1"/>
  <c r="W115" i="3"/>
  <c r="AD115" i="3" s="1"/>
  <c r="AC114" i="3"/>
  <c r="Z114" i="3"/>
  <c r="Y114" i="3"/>
  <c r="AA114" i="3" s="1"/>
  <c r="W114" i="3"/>
  <c r="AD114" i="3" s="1"/>
  <c r="AC113" i="3"/>
  <c r="Z113" i="3"/>
  <c r="Y113" i="3"/>
  <c r="AA113" i="3" s="1"/>
  <c r="W113" i="3"/>
  <c r="AD113" i="3" s="1"/>
  <c r="AC112" i="3"/>
  <c r="Z112" i="3"/>
  <c r="Y112" i="3"/>
  <c r="AA112" i="3" s="1"/>
  <c r="W112" i="3"/>
  <c r="AD112" i="3" s="1"/>
  <c r="AC111" i="3"/>
  <c r="Z111" i="3"/>
  <c r="Y111" i="3"/>
  <c r="AA111" i="3" s="1"/>
  <c r="W111" i="3"/>
  <c r="AD111" i="3" s="1"/>
  <c r="AC110" i="3"/>
  <c r="Z110" i="3"/>
  <c r="Y110" i="3"/>
  <c r="AA110" i="3" s="1"/>
  <c r="W110" i="3"/>
  <c r="AD110" i="3" s="1"/>
  <c r="AC109" i="3"/>
  <c r="Z109" i="3"/>
  <c r="Y109" i="3"/>
  <c r="AA109" i="3" s="1"/>
  <c r="W109" i="3"/>
  <c r="AD109" i="3" s="1"/>
  <c r="AC108" i="3"/>
  <c r="Z108" i="3"/>
  <c r="Y108" i="3"/>
  <c r="AA108" i="3" s="1"/>
  <c r="W108" i="3"/>
  <c r="AD108" i="3" s="1"/>
  <c r="AC107" i="3"/>
  <c r="Z107" i="3"/>
  <c r="Y107" i="3"/>
  <c r="AA107" i="3" s="1"/>
  <c r="W107" i="3"/>
  <c r="AD107" i="3" s="1"/>
  <c r="AC106" i="3"/>
  <c r="Z106" i="3"/>
  <c r="Y106" i="3"/>
  <c r="AA106" i="3" s="1"/>
  <c r="W106" i="3"/>
  <c r="AD106" i="3" s="1"/>
  <c r="AC105" i="3"/>
  <c r="Z105" i="3"/>
  <c r="Y105" i="3"/>
  <c r="AA105" i="3" s="1"/>
  <c r="W105" i="3"/>
  <c r="AD105" i="3" s="1"/>
  <c r="AC104" i="3"/>
  <c r="Z104" i="3"/>
  <c r="Y104" i="3"/>
  <c r="AA104" i="3" s="1"/>
  <c r="W104" i="3"/>
  <c r="AD104" i="3" s="1"/>
  <c r="AC103" i="3"/>
  <c r="Z103" i="3"/>
  <c r="Y103" i="3"/>
  <c r="AA103" i="3" s="1"/>
  <c r="W103" i="3"/>
  <c r="AD103" i="3" s="1"/>
  <c r="AC102" i="3"/>
  <c r="Z102" i="3"/>
  <c r="Y102" i="3"/>
  <c r="AA102" i="3" s="1"/>
  <c r="W102" i="3"/>
  <c r="AD102" i="3" s="1"/>
  <c r="AC101" i="3"/>
  <c r="Z101" i="3"/>
  <c r="Y101" i="3"/>
  <c r="AA101" i="3" s="1"/>
  <c r="W101" i="3"/>
  <c r="AD101" i="3" s="1"/>
  <c r="AC100" i="3"/>
  <c r="Z100" i="3"/>
  <c r="Y100" i="3"/>
  <c r="AA100" i="3" s="1"/>
  <c r="W100" i="3"/>
  <c r="AD100" i="3" s="1"/>
  <c r="AC99" i="3"/>
  <c r="Z99" i="3"/>
  <c r="Y99" i="3"/>
  <c r="AA99" i="3" s="1"/>
  <c r="W99" i="3"/>
  <c r="AD99" i="3" s="1"/>
  <c r="AC98" i="3"/>
  <c r="Z98" i="3"/>
  <c r="Y98" i="3"/>
  <c r="AA98" i="3" s="1"/>
  <c r="W98" i="3"/>
  <c r="AD98" i="3" s="1"/>
  <c r="AC97" i="3"/>
  <c r="Z97" i="3"/>
  <c r="Y97" i="3"/>
  <c r="AA97" i="3" s="1"/>
  <c r="W97" i="3"/>
  <c r="AD97" i="3" s="1"/>
  <c r="AC96" i="3"/>
  <c r="Z96" i="3"/>
  <c r="Y96" i="3"/>
  <c r="AA96" i="3" s="1"/>
  <c r="W96" i="3"/>
  <c r="AD96" i="3" s="1"/>
  <c r="AC95" i="3"/>
  <c r="Z95" i="3"/>
  <c r="Y95" i="3"/>
  <c r="AA95" i="3" s="1"/>
  <c r="W95" i="3"/>
  <c r="AD95" i="3" s="1"/>
  <c r="AC94" i="3"/>
  <c r="Z94" i="3"/>
  <c r="Y94" i="3"/>
  <c r="AA94" i="3" s="1"/>
  <c r="W94" i="3"/>
  <c r="AD94" i="3" s="1"/>
  <c r="AC93" i="3"/>
  <c r="Z93" i="3"/>
  <c r="Y93" i="3"/>
  <c r="AA93" i="3" s="1"/>
  <c r="W93" i="3"/>
  <c r="AD93" i="3" s="1"/>
  <c r="AC92" i="3"/>
  <c r="Z92" i="3"/>
  <c r="Y92" i="3"/>
  <c r="AA92" i="3" s="1"/>
  <c r="W92" i="3"/>
  <c r="AD92" i="3" s="1"/>
  <c r="AC91" i="3"/>
  <c r="Z91" i="3"/>
  <c r="Y91" i="3"/>
  <c r="AA91" i="3" s="1"/>
  <c r="W91" i="3"/>
  <c r="AD91" i="3" s="1"/>
  <c r="AC90" i="3"/>
  <c r="Z90" i="3"/>
  <c r="Y90" i="3"/>
  <c r="AA90" i="3" s="1"/>
  <c r="W90" i="3"/>
  <c r="AD90" i="3" s="1"/>
  <c r="AC89" i="3"/>
  <c r="Z89" i="3"/>
  <c r="Y89" i="3"/>
  <c r="AA89" i="3" s="1"/>
  <c r="W89" i="3"/>
  <c r="AD89" i="3" s="1"/>
  <c r="AC88" i="3"/>
  <c r="Z88" i="3"/>
  <c r="Y88" i="3"/>
  <c r="AA88" i="3" s="1"/>
  <c r="W88" i="3"/>
  <c r="AD88" i="3" s="1"/>
  <c r="AC87" i="3"/>
  <c r="Z87" i="3"/>
  <c r="Y87" i="3"/>
  <c r="AA87" i="3" s="1"/>
  <c r="W87" i="3"/>
  <c r="AD87" i="3" s="1"/>
  <c r="AC86" i="3"/>
  <c r="Z86" i="3"/>
  <c r="Y86" i="3"/>
  <c r="AA86" i="3" s="1"/>
  <c r="W86" i="3"/>
  <c r="AD86" i="3" s="1"/>
  <c r="AC85" i="3"/>
  <c r="Z85" i="3"/>
  <c r="Y85" i="3"/>
  <c r="AA85" i="3" s="1"/>
  <c r="W85" i="3"/>
  <c r="AD85" i="3" s="1"/>
  <c r="AC84" i="3"/>
  <c r="Z84" i="3"/>
  <c r="Y84" i="3"/>
  <c r="AA84" i="3" s="1"/>
  <c r="W84" i="3"/>
  <c r="AD84" i="3" s="1"/>
  <c r="AC83" i="3"/>
  <c r="Z83" i="3"/>
  <c r="Y83" i="3"/>
  <c r="AA83" i="3" s="1"/>
  <c r="W83" i="3"/>
  <c r="AD83" i="3" s="1"/>
  <c r="AC82" i="3"/>
  <c r="Z82" i="3"/>
  <c r="Y82" i="3"/>
  <c r="AA82" i="3" s="1"/>
  <c r="W82" i="3"/>
  <c r="AD82" i="3" s="1"/>
  <c r="AC81" i="3"/>
  <c r="Z81" i="3"/>
  <c r="Y81" i="3"/>
  <c r="AA81" i="3" s="1"/>
  <c r="W81" i="3"/>
  <c r="AD81" i="3" s="1"/>
  <c r="AC80" i="3"/>
  <c r="Z80" i="3"/>
  <c r="Y80" i="3"/>
  <c r="AA80" i="3" s="1"/>
  <c r="W80" i="3"/>
  <c r="AD80" i="3" s="1"/>
  <c r="AC79" i="3"/>
  <c r="Z79" i="3"/>
  <c r="Y79" i="3"/>
  <c r="AA79" i="3" s="1"/>
  <c r="W79" i="3"/>
  <c r="AD79" i="3" s="1"/>
  <c r="AC78" i="3"/>
  <c r="Z78" i="3"/>
  <c r="Y78" i="3"/>
  <c r="AA78" i="3" s="1"/>
  <c r="W78" i="3"/>
  <c r="AC77" i="3"/>
  <c r="Z77" i="3"/>
  <c r="Y77" i="3"/>
  <c r="AA77" i="3" s="1"/>
  <c r="W77" i="3"/>
  <c r="AD77" i="3" s="1"/>
  <c r="AC76" i="3"/>
  <c r="Z76" i="3"/>
  <c r="Y76" i="3"/>
  <c r="AA76" i="3" s="1"/>
  <c r="W76" i="3"/>
  <c r="AD76" i="3" s="1"/>
  <c r="AC75" i="3"/>
  <c r="Z75" i="3"/>
  <c r="Y75" i="3"/>
  <c r="AA75" i="3" s="1"/>
  <c r="W75" i="3"/>
  <c r="AD75" i="3" s="1"/>
  <c r="AC74" i="3"/>
  <c r="Z74" i="3"/>
  <c r="Y74" i="3"/>
  <c r="AA74" i="3" s="1"/>
  <c r="W74" i="3"/>
  <c r="AD74" i="3" s="1"/>
  <c r="AC73" i="3"/>
  <c r="Z73" i="3"/>
  <c r="Y73" i="3"/>
  <c r="AA73" i="3" s="1"/>
  <c r="W73" i="3"/>
  <c r="AD73" i="3" s="1"/>
  <c r="AC72" i="3"/>
  <c r="Z72" i="3"/>
  <c r="Y72" i="3"/>
  <c r="AA72" i="3" s="1"/>
  <c r="W72" i="3"/>
  <c r="AD72" i="3" s="1"/>
  <c r="AC71" i="3"/>
  <c r="Z71" i="3"/>
  <c r="Y71" i="3"/>
  <c r="AA71" i="3" s="1"/>
  <c r="W71" i="3"/>
  <c r="AD71" i="3" s="1"/>
  <c r="AC70" i="3"/>
  <c r="Z70" i="3"/>
  <c r="Y70" i="3"/>
  <c r="AA70" i="3" s="1"/>
  <c r="W70" i="3"/>
  <c r="AD70" i="3" s="1"/>
  <c r="AC69" i="3"/>
  <c r="Z69" i="3"/>
  <c r="Y69" i="3"/>
  <c r="AA69" i="3" s="1"/>
  <c r="W69" i="3"/>
  <c r="AD69" i="3" s="1"/>
  <c r="AC68" i="3"/>
  <c r="Z68" i="3"/>
  <c r="Y68" i="3"/>
  <c r="AA68" i="3" s="1"/>
  <c r="W68" i="3"/>
  <c r="AD68" i="3" s="1"/>
  <c r="AC67" i="3"/>
  <c r="Z67" i="3"/>
  <c r="Y67" i="3"/>
  <c r="AA67" i="3" s="1"/>
  <c r="W67" i="3"/>
  <c r="AD67" i="3" s="1"/>
  <c r="AC66" i="3"/>
  <c r="Z66" i="3"/>
  <c r="Y66" i="3"/>
  <c r="AA66" i="3" s="1"/>
  <c r="W66" i="3"/>
  <c r="AD66" i="3" s="1"/>
  <c r="AC65" i="3"/>
  <c r="Z65" i="3"/>
  <c r="Y65" i="3"/>
  <c r="AA65" i="3" s="1"/>
  <c r="W65" i="3"/>
  <c r="AD65" i="3" s="1"/>
  <c r="AC64" i="3"/>
  <c r="Z64" i="3"/>
  <c r="Y64" i="3"/>
  <c r="AA64" i="3" s="1"/>
  <c r="W64" i="3"/>
  <c r="AD64" i="3" s="1"/>
  <c r="AC63" i="3"/>
  <c r="Z63" i="3"/>
  <c r="Y63" i="3"/>
  <c r="AA63" i="3" s="1"/>
  <c r="W63" i="3"/>
  <c r="AD63" i="3" s="1"/>
  <c r="AC62" i="3"/>
  <c r="Z62" i="3"/>
  <c r="Y62" i="3"/>
  <c r="AA62" i="3" s="1"/>
  <c r="W62" i="3"/>
  <c r="AD62" i="3" s="1"/>
  <c r="AC61" i="3"/>
  <c r="Z61" i="3"/>
  <c r="Y61" i="3"/>
  <c r="AA61" i="3" s="1"/>
  <c r="W61" i="3"/>
  <c r="AD61" i="3" s="1"/>
  <c r="AC60" i="3"/>
  <c r="Z60" i="3"/>
  <c r="Y60" i="3"/>
  <c r="AA60" i="3" s="1"/>
  <c r="W60" i="3"/>
  <c r="AD60" i="3" s="1"/>
  <c r="AC59" i="3"/>
  <c r="Z59" i="3"/>
  <c r="Y59" i="3"/>
  <c r="AA59" i="3" s="1"/>
  <c r="W59" i="3"/>
  <c r="AD59" i="3" s="1"/>
  <c r="AC58" i="3"/>
  <c r="Z58" i="3"/>
  <c r="Y58" i="3"/>
  <c r="AA58" i="3" s="1"/>
  <c r="W58" i="3"/>
  <c r="AD58" i="3" s="1"/>
  <c r="AC57" i="3"/>
  <c r="Z57" i="3"/>
  <c r="Y57" i="3"/>
  <c r="AA57" i="3" s="1"/>
  <c r="W57" i="3"/>
  <c r="AD57" i="3" s="1"/>
  <c r="AC56" i="3"/>
  <c r="Z56" i="3"/>
  <c r="Y56" i="3"/>
  <c r="AA56" i="3" s="1"/>
  <c r="W56" i="3"/>
  <c r="AD56" i="3" s="1"/>
  <c r="AC55" i="3"/>
  <c r="Z55" i="3"/>
  <c r="Y55" i="3"/>
  <c r="AA55" i="3" s="1"/>
  <c r="W55" i="3"/>
  <c r="AD55" i="3" s="1"/>
  <c r="AC54" i="3"/>
  <c r="Z54" i="3"/>
  <c r="Y54" i="3"/>
  <c r="AA54" i="3" s="1"/>
  <c r="W54" i="3"/>
  <c r="AD54" i="3" s="1"/>
  <c r="AC53" i="3"/>
  <c r="Z53" i="3"/>
  <c r="Y53" i="3"/>
  <c r="AA53" i="3" s="1"/>
  <c r="W53" i="3"/>
  <c r="AD53" i="3" s="1"/>
  <c r="AC52" i="3"/>
  <c r="Z52" i="3"/>
  <c r="Y52" i="3"/>
  <c r="AA52" i="3" s="1"/>
  <c r="W52" i="3"/>
  <c r="AD52" i="3" s="1"/>
  <c r="AC51" i="3"/>
  <c r="Z51" i="3"/>
  <c r="Y51" i="3"/>
  <c r="AA51" i="3" s="1"/>
  <c r="W51" i="3"/>
  <c r="AD51" i="3" s="1"/>
  <c r="N51" i="3"/>
  <c r="M51" i="3"/>
  <c r="L51" i="3"/>
  <c r="K51" i="3"/>
  <c r="AC50" i="3"/>
  <c r="Z50" i="3"/>
  <c r="Y50" i="3"/>
  <c r="AA50" i="3" s="1"/>
  <c r="W50" i="3"/>
  <c r="AD50" i="3" s="1"/>
  <c r="N50" i="3"/>
  <c r="M50" i="3"/>
  <c r="L50" i="3"/>
  <c r="K50" i="3"/>
  <c r="AC49" i="3"/>
  <c r="Z49" i="3"/>
  <c r="Y49" i="3"/>
  <c r="AA49" i="3" s="1"/>
  <c r="W49" i="3"/>
  <c r="AD49" i="3" s="1"/>
  <c r="N49" i="3"/>
  <c r="M49" i="3"/>
  <c r="L49" i="3"/>
  <c r="K49" i="3"/>
  <c r="AC48" i="3"/>
  <c r="Z48" i="3"/>
  <c r="Y48" i="3"/>
  <c r="AA48" i="3" s="1"/>
  <c r="W48" i="3"/>
  <c r="AD48" i="3" s="1"/>
  <c r="N48" i="3"/>
  <c r="M48" i="3"/>
  <c r="L48" i="3"/>
  <c r="K48" i="3"/>
  <c r="AC47" i="3"/>
  <c r="Z47" i="3"/>
  <c r="Y47" i="3"/>
  <c r="AA47" i="3" s="1"/>
  <c r="W47" i="3"/>
  <c r="AD47" i="3" s="1"/>
  <c r="N47" i="3"/>
  <c r="M47" i="3"/>
  <c r="L47" i="3"/>
  <c r="K47" i="3"/>
  <c r="AC46" i="3"/>
  <c r="Z46" i="3"/>
  <c r="Y46" i="3"/>
  <c r="AA46" i="3" s="1"/>
  <c r="W46" i="3"/>
  <c r="AD46" i="3" s="1"/>
  <c r="N46" i="3"/>
  <c r="M46" i="3"/>
  <c r="L46" i="3"/>
  <c r="K46" i="3"/>
  <c r="AC45" i="3"/>
  <c r="Z45" i="3"/>
  <c r="Y45" i="3"/>
  <c r="AA45" i="3" s="1"/>
  <c r="W45" i="3"/>
  <c r="AD45" i="3" s="1"/>
  <c r="N45" i="3"/>
  <c r="M45" i="3"/>
  <c r="L45" i="3"/>
  <c r="K45" i="3"/>
  <c r="AC44" i="3"/>
  <c r="Z44" i="3"/>
  <c r="Y44" i="3"/>
  <c r="AA44" i="3" s="1"/>
  <c r="W44" i="3"/>
  <c r="AD44" i="3" s="1"/>
  <c r="N44" i="3"/>
  <c r="M44" i="3"/>
  <c r="L44" i="3"/>
  <c r="K44" i="3"/>
  <c r="AC43" i="3"/>
  <c r="Z43" i="3"/>
  <c r="Y43" i="3"/>
  <c r="AA43" i="3" s="1"/>
  <c r="W43" i="3"/>
  <c r="AD43" i="3" s="1"/>
  <c r="N43" i="3"/>
  <c r="M43" i="3"/>
  <c r="L43" i="3"/>
  <c r="K43" i="3"/>
  <c r="AC42" i="3"/>
  <c r="Z42" i="3"/>
  <c r="Y42" i="3"/>
  <c r="AA42" i="3" s="1"/>
  <c r="W42" i="3"/>
  <c r="AD42" i="3" s="1"/>
  <c r="N42" i="3"/>
  <c r="M42" i="3"/>
  <c r="L42" i="3"/>
  <c r="K42" i="3"/>
  <c r="AC41" i="3"/>
  <c r="Z41" i="3"/>
  <c r="Y41" i="3"/>
  <c r="AA41" i="3" s="1"/>
  <c r="W41" i="3"/>
  <c r="AD41" i="3" s="1"/>
  <c r="N41" i="3"/>
  <c r="M41" i="3"/>
  <c r="L41" i="3"/>
  <c r="K41" i="3"/>
  <c r="AC40" i="3"/>
  <c r="Z40" i="3"/>
  <c r="Y40" i="3"/>
  <c r="AA40" i="3" s="1"/>
  <c r="W40" i="3"/>
  <c r="AD40" i="3" s="1"/>
  <c r="AC39" i="3"/>
  <c r="Z39" i="3"/>
  <c r="Y39" i="3"/>
  <c r="AA39" i="3" s="1"/>
  <c r="W39" i="3"/>
  <c r="AD39" i="3" s="1"/>
  <c r="N39" i="3"/>
  <c r="M39" i="3"/>
  <c r="L39" i="3"/>
  <c r="K39" i="3"/>
  <c r="AC38" i="3"/>
  <c r="Z38" i="3"/>
  <c r="Y38" i="3"/>
  <c r="AA38" i="3" s="1"/>
  <c r="W38" i="3"/>
  <c r="AD38" i="3" s="1"/>
  <c r="N38" i="3"/>
  <c r="M38" i="3"/>
  <c r="L38" i="3"/>
  <c r="K38" i="3"/>
  <c r="AC37" i="3"/>
  <c r="Z37" i="3"/>
  <c r="Y37" i="3"/>
  <c r="AA37" i="3" s="1"/>
  <c r="W37" i="3"/>
  <c r="AD37" i="3" s="1"/>
  <c r="N37" i="3"/>
  <c r="M37" i="3"/>
  <c r="L37" i="3"/>
  <c r="K37" i="3"/>
  <c r="AC36" i="3"/>
  <c r="Z36" i="3"/>
  <c r="Y36" i="3"/>
  <c r="AA36" i="3" s="1"/>
  <c r="W36" i="3"/>
  <c r="AD36" i="3" s="1"/>
  <c r="N36" i="3"/>
  <c r="M36" i="3"/>
  <c r="L36" i="3"/>
  <c r="K36" i="3"/>
  <c r="AC35" i="3"/>
  <c r="Z35" i="3"/>
  <c r="Y35" i="3"/>
  <c r="AA35" i="3" s="1"/>
  <c r="W35" i="3"/>
  <c r="AD35" i="3" s="1"/>
  <c r="N35" i="3"/>
  <c r="M35" i="3"/>
  <c r="L35" i="3"/>
  <c r="K35" i="3"/>
  <c r="AC34" i="3"/>
  <c r="Z34" i="3"/>
  <c r="Y34" i="3"/>
  <c r="AA34" i="3" s="1"/>
  <c r="W34" i="3"/>
  <c r="AD34" i="3" s="1"/>
  <c r="AC33" i="3"/>
  <c r="Z33" i="3"/>
  <c r="Y33" i="3"/>
  <c r="AA33" i="3" s="1"/>
  <c r="W33" i="3"/>
  <c r="AD33" i="3" s="1"/>
  <c r="AC32" i="3"/>
  <c r="Z32" i="3"/>
  <c r="Y32" i="3"/>
  <c r="AA32" i="3" s="1"/>
  <c r="W32" i="3"/>
  <c r="AD32" i="3" s="1"/>
  <c r="AC31" i="3"/>
  <c r="Z31" i="3"/>
  <c r="Y31" i="3"/>
  <c r="AA31" i="3" s="1"/>
  <c r="W31" i="3"/>
  <c r="AD31" i="3" s="1"/>
  <c r="AC30" i="3"/>
  <c r="Z30" i="3"/>
  <c r="Y30" i="3"/>
  <c r="AA30" i="3" s="1"/>
  <c r="W30" i="3"/>
  <c r="AD30" i="3" s="1"/>
  <c r="AC29" i="3"/>
  <c r="Z29" i="3"/>
  <c r="Y29" i="3"/>
  <c r="AA29" i="3" s="1"/>
  <c r="W29" i="3"/>
  <c r="AD29" i="3" s="1"/>
  <c r="AC28" i="3"/>
  <c r="Z28" i="3"/>
  <c r="Y28" i="3"/>
  <c r="W28" i="3"/>
  <c r="AC27" i="3"/>
  <c r="Z27" i="3"/>
  <c r="Y27" i="3"/>
  <c r="W27" i="3"/>
  <c r="AC26" i="3"/>
  <c r="Z26" i="3"/>
  <c r="Y26" i="3"/>
  <c r="W26" i="3"/>
  <c r="AC25" i="3"/>
  <c r="Z25" i="3"/>
  <c r="Y25" i="3"/>
  <c r="W25" i="3"/>
  <c r="N25" i="3"/>
  <c r="M25" i="3"/>
  <c r="L25" i="3"/>
  <c r="K25" i="3"/>
  <c r="AC24" i="3"/>
  <c r="Z24" i="3"/>
  <c r="Y24" i="3"/>
  <c r="W24" i="3"/>
  <c r="AC23" i="3"/>
  <c r="Z23" i="3"/>
  <c r="Y23" i="3"/>
  <c r="W23" i="3"/>
  <c r="AC22" i="3"/>
  <c r="Z22" i="3"/>
  <c r="Y22" i="3"/>
  <c r="W22" i="3"/>
  <c r="N22" i="3"/>
  <c r="M22" i="3"/>
  <c r="L22" i="3"/>
  <c r="K22" i="3"/>
  <c r="AC21" i="3"/>
  <c r="Z21" i="3"/>
  <c r="Y21" i="3"/>
  <c r="W21" i="3"/>
  <c r="AC20" i="3"/>
  <c r="Z20" i="3"/>
  <c r="Y20" i="3"/>
  <c r="W20" i="3"/>
  <c r="N20" i="3"/>
  <c r="M20" i="3"/>
  <c r="L20" i="3"/>
  <c r="K20" i="3"/>
  <c r="AC19" i="3"/>
  <c r="Z19" i="3"/>
  <c r="Y19" i="3"/>
  <c r="W19" i="3"/>
  <c r="N19" i="3"/>
  <c r="M19" i="3"/>
  <c r="L19" i="3"/>
  <c r="K19" i="3"/>
  <c r="AC18" i="3"/>
  <c r="Z18" i="3"/>
  <c r="Y18" i="3"/>
  <c r="W18" i="3"/>
  <c r="AC17" i="3"/>
  <c r="Z17" i="3"/>
  <c r="Y17" i="3"/>
  <c r="W17" i="3"/>
  <c r="N17" i="3"/>
  <c r="M17" i="3"/>
  <c r="L17" i="3"/>
  <c r="K17" i="3"/>
  <c r="AC16" i="3"/>
  <c r="Z16" i="3"/>
  <c r="Y16" i="3"/>
  <c r="W16" i="3"/>
  <c r="L16" i="3"/>
  <c r="N16" i="3" s="1"/>
  <c r="AC15" i="3"/>
  <c r="Z15" i="3"/>
  <c r="Y15" i="3"/>
  <c r="W15" i="3"/>
  <c r="AC14" i="3"/>
  <c r="Z14" i="3"/>
  <c r="Y14" i="3"/>
  <c r="AA14" i="3" s="1"/>
  <c r="W14" i="3"/>
  <c r="AD14" i="3" s="1"/>
  <c r="K16" i="3" s="1"/>
  <c r="M16" i="3" s="1"/>
  <c r="L14" i="3"/>
  <c r="N14" i="3" s="1"/>
  <c r="AC13" i="3"/>
  <c r="Z13" i="3"/>
  <c r="Y13" i="3"/>
  <c r="W13" i="3"/>
  <c r="N13" i="3"/>
  <c r="M13" i="3"/>
  <c r="L13" i="3"/>
  <c r="K13" i="3"/>
  <c r="AC12" i="3"/>
  <c r="Z12" i="3"/>
  <c r="Y12" i="3"/>
  <c r="AA12" i="3" s="1"/>
  <c r="W12" i="3"/>
  <c r="AD12" i="3" s="1"/>
  <c r="K14" i="3" s="1"/>
  <c r="M14" i="3" s="1"/>
  <c r="L12" i="3"/>
  <c r="N12" i="3" s="1"/>
  <c r="AC11" i="3"/>
  <c r="Z11" i="3"/>
  <c r="Y11" i="3"/>
  <c r="AA11" i="3" s="1"/>
  <c r="W11" i="3"/>
  <c r="AD11" i="3" s="1"/>
  <c r="K12" i="3" s="1"/>
  <c r="M12" i="3" s="1"/>
  <c r="L11" i="3"/>
  <c r="N11" i="3" s="1"/>
  <c r="AC10" i="3"/>
  <c r="Z10" i="3"/>
  <c r="Y10" i="3"/>
  <c r="AA10" i="3" s="1"/>
  <c r="W10" i="3"/>
  <c r="AD10" i="3" s="1"/>
  <c r="K11" i="3" s="1"/>
  <c r="M11" i="3" s="1"/>
  <c r="L10" i="3"/>
  <c r="N10" i="3" s="1"/>
  <c r="AC9" i="3"/>
  <c r="Z9" i="3"/>
  <c r="Y9" i="3"/>
  <c r="AA9" i="3" s="1"/>
  <c r="W9" i="3"/>
  <c r="AD9" i="3" s="1"/>
  <c r="K10" i="3" s="1"/>
  <c r="M10" i="3" s="1"/>
  <c r="L9" i="3"/>
  <c r="N9" i="3" s="1"/>
  <c r="AC8" i="3"/>
  <c r="Z8" i="3"/>
  <c r="Y8" i="3"/>
  <c r="AA8" i="3" s="1"/>
  <c r="W8" i="3"/>
  <c r="AD8" i="3" s="1"/>
  <c r="K9" i="3" s="1"/>
  <c r="M9" i="3" s="1"/>
  <c r="L8" i="3"/>
  <c r="N8" i="3" s="1"/>
  <c r="AC7" i="3"/>
  <c r="Z7" i="3"/>
  <c r="Y7" i="3"/>
  <c r="AA7" i="3" s="1"/>
  <c r="W7" i="3"/>
  <c r="AD7" i="3" s="1"/>
  <c r="K8" i="3" s="1"/>
  <c r="M8" i="3" s="1"/>
  <c r="N7" i="3"/>
  <c r="M7" i="3"/>
  <c r="L7" i="3"/>
  <c r="K7" i="3"/>
  <c r="J231" i="8" l="1"/>
  <c r="I231" i="8"/>
  <c r="H231" i="8"/>
  <c r="G231" i="8"/>
  <c r="F231" i="8"/>
  <c r="E231" i="8"/>
  <c r="D231" i="8"/>
  <c r="C231" i="8"/>
  <c r="B231" i="8"/>
  <c r="J230" i="8"/>
  <c r="I230" i="8"/>
  <c r="H230" i="8"/>
  <c r="G230" i="8"/>
  <c r="F230" i="8"/>
  <c r="E230" i="8"/>
  <c r="D230" i="8"/>
  <c r="C230" i="8"/>
  <c r="B230" i="8"/>
  <c r="J229" i="8"/>
  <c r="I229" i="8"/>
  <c r="H229" i="8"/>
  <c r="G229" i="8"/>
  <c r="F229" i="8"/>
  <c r="E229" i="8"/>
  <c r="D229" i="8"/>
  <c r="C229" i="8"/>
  <c r="B229" i="8"/>
  <c r="J228" i="8"/>
  <c r="I228" i="8"/>
  <c r="H228" i="8"/>
  <c r="G228" i="8"/>
  <c r="F228" i="8"/>
  <c r="E228" i="8"/>
  <c r="D228" i="8"/>
  <c r="C228" i="8"/>
  <c r="B228" i="8"/>
  <c r="J227" i="8"/>
  <c r="I227" i="8"/>
  <c r="H227" i="8"/>
  <c r="G227" i="8"/>
  <c r="F227" i="8"/>
  <c r="E227" i="8"/>
  <c r="D227" i="8"/>
  <c r="C227" i="8"/>
  <c r="B227" i="8"/>
  <c r="J226" i="8"/>
  <c r="I226" i="8"/>
  <c r="H226" i="8"/>
  <c r="G226" i="8"/>
  <c r="F226" i="8"/>
  <c r="E226" i="8"/>
  <c r="D226" i="8"/>
  <c r="C226" i="8"/>
  <c r="B226" i="8"/>
  <c r="J225" i="8"/>
  <c r="I225" i="8"/>
  <c r="H225" i="8"/>
  <c r="G225" i="8"/>
  <c r="F225" i="8"/>
  <c r="E225" i="8"/>
  <c r="D225" i="8"/>
  <c r="C225" i="8"/>
  <c r="B225" i="8"/>
  <c r="J224" i="8"/>
  <c r="I224" i="8"/>
  <c r="H224" i="8"/>
  <c r="G224" i="8"/>
  <c r="F224" i="8"/>
  <c r="E224" i="8"/>
  <c r="D224" i="8"/>
  <c r="C224" i="8"/>
  <c r="B224" i="8"/>
  <c r="J223" i="8"/>
  <c r="I223" i="8"/>
  <c r="H223" i="8"/>
  <c r="G223" i="8"/>
  <c r="F223" i="8"/>
  <c r="E223" i="8"/>
  <c r="D223" i="8"/>
  <c r="C223" i="8"/>
  <c r="B223" i="8"/>
  <c r="J222" i="8"/>
  <c r="I222" i="8"/>
  <c r="H222" i="8"/>
  <c r="G222" i="8"/>
  <c r="F222" i="8"/>
  <c r="E222" i="8"/>
  <c r="D222" i="8"/>
  <c r="C222" i="8"/>
  <c r="B222" i="8"/>
  <c r="J221" i="8"/>
  <c r="I221" i="8"/>
  <c r="H221" i="8"/>
  <c r="G221" i="8"/>
  <c r="F221" i="8"/>
  <c r="E221" i="8"/>
  <c r="D221" i="8"/>
  <c r="C221" i="8"/>
  <c r="B221" i="8"/>
  <c r="J220" i="8"/>
  <c r="I220" i="8"/>
  <c r="H220" i="8"/>
  <c r="G220" i="8"/>
  <c r="F220" i="8"/>
  <c r="E220" i="8"/>
  <c r="D220" i="8"/>
  <c r="C220" i="8"/>
  <c r="B220" i="8"/>
  <c r="J219" i="8"/>
  <c r="I219" i="8"/>
  <c r="H219" i="8"/>
  <c r="G219" i="8"/>
  <c r="F219" i="8"/>
  <c r="E219" i="8"/>
  <c r="D219" i="8"/>
  <c r="C219" i="8"/>
  <c r="B219" i="8"/>
  <c r="J218" i="8"/>
  <c r="I218" i="8"/>
  <c r="H218" i="8"/>
  <c r="G218" i="8"/>
  <c r="F218" i="8"/>
  <c r="E218" i="8"/>
  <c r="D218" i="8"/>
  <c r="C218" i="8"/>
  <c r="B218" i="8"/>
  <c r="J217" i="8"/>
  <c r="I217" i="8"/>
  <c r="H217" i="8"/>
  <c r="G217" i="8"/>
  <c r="F217" i="8"/>
  <c r="E217" i="8"/>
  <c r="D217" i="8"/>
  <c r="C217" i="8"/>
  <c r="B217" i="8"/>
  <c r="J216" i="8"/>
  <c r="I216" i="8"/>
  <c r="H216" i="8"/>
  <c r="G216" i="8"/>
  <c r="F216" i="8"/>
  <c r="E216" i="8"/>
  <c r="D216" i="8"/>
  <c r="C216" i="8"/>
  <c r="B216" i="8"/>
  <c r="J215" i="8"/>
  <c r="I215" i="8"/>
  <c r="H215" i="8"/>
  <c r="G215" i="8"/>
  <c r="F215" i="8"/>
  <c r="E215" i="8"/>
  <c r="D215" i="8"/>
  <c r="C215" i="8"/>
  <c r="B215" i="8"/>
  <c r="J214" i="8"/>
  <c r="I214" i="8"/>
  <c r="H214" i="8"/>
  <c r="G214" i="8"/>
  <c r="F214" i="8"/>
  <c r="E214" i="8"/>
  <c r="D214" i="8"/>
  <c r="C214" i="8"/>
  <c r="B214" i="8"/>
  <c r="J213" i="8"/>
  <c r="I213" i="8"/>
  <c r="H213" i="8"/>
  <c r="G213" i="8"/>
  <c r="F213" i="8"/>
  <c r="E213" i="8"/>
  <c r="D213" i="8"/>
  <c r="C213" i="8"/>
  <c r="B213" i="8"/>
  <c r="J212" i="8"/>
  <c r="I212" i="8"/>
  <c r="H212" i="8"/>
  <c r="G212" i="8"/>
  <c r="F212" i="8"/>
  <c r="E212" i="8"/>
  <c r="D212" i="8"/>
  <c r="C212" i="8"/>
  <c r="B212" i="8"/>
  <c r="J211" i="8"/>
  <c r="I211" i="8"/>
  <c r="H211" i="8"/>
  <c r="G211" i="8"/>
  <c r="F211" i="8"/>
  <c r="E211" i="8"/>
  <c r="D211" i="8"/>
  <c r="C211" i="8"/>
  <c r="B211" i="8"/>
  <c r="J210" i="8"/>
  <c r="I210" i="8"/>
  <c r="H210" i="8"/>
  <c r="G210" i="8"/>
  <c r="F210" i="8"/>
  <c r="E210" i="8"/>
  <c r="D210" i="8"/>
  <c r="C210" i="8"/>
  <c r="B210" i="8"/>
  <c r="J209" i="8"/>
  <c r="I209" i="8"/>
  <c r="H209" i="8"/>
  <c r="G209" i="8"/>
  <c r="F209" i="8"/>
  <c r="E209" i="8"/>
  <c r="D209" i="8"/>
  <c r="C209" i="8"/>
  <c r="B209" i="8"/>
  <c r="J208" i="8"/>
  <c r="I208" i="8"/>
  <c r="H208" i="8"/>
  <c r="G208" i="8"/>
  <c r="F208" i="8"/>
  <c r="E208" i="8"/>
  <c r="D208" i="8"/>
  <c r="C208" i="8"/>
  <c r="B208" i="8"/>
  <c r="J207" i="8"/>
  <c r="I207" i="8"/>
  <c r="H207" i="8"/>
  <c r="G207" i="8"/>
  <c r="F207" i="8"/>
  <c r="E207" i="8"/>
  <c r="D207" i="8"/>
  <c r="C207" i="8"/>
  <c r="B207" i="8"/>
  <c r="J206" i="8"/>
  <c r="I206" i="8"/>
  <c r="H206" i="8"/>
  <c r="G206" i="8"/>
  <c r="F206" i="8"/>
  <c r="E206" i="8"/>
  <c r="D206" i="8"/>
  <c r="C206" i="8"/>
  <c r="B206" i="8"/>
  <c r="J205" i="8"/>
  <c r="I205" i="8"/>
  <c r="H205" i="8"/>
  <c r="G205" i="8"/>
  <c r="F205" i="8"/>
  <c r="E205" i="8"/>
  <c r="D205" i="8"/>
  <c r="C205" i="8"/>
  <c r="B205" i="8"/>
  <c r="J204" i="8"/>
  <c r="I204" i="8"/>
  <c r="H204" i="8"/>
  <c r="G204" i="8"/>
  <c r="F204" i="8"/>
  <c r="E204" i="8"/>
  <c r="D204" i="8"/>
  <c r="C204" i="8"/>
  <c r="B204" i="8"/>
  <c r="J203" i="8"/>
  <c r="I203" i="8"/>
  <c r="H203" i="8"/>
  <c r="G203" i="8"/>
  <c r="F203" i="8"/>
  <c r="E203" i="8"/>
  <c r="D203" i="8"/>
  <c r="C203" i="8"/>
  <c r="B203" i="8"/>
  <c r="J202" i="8"/>
  <c r="I202" i="8"/>
  <c r="H202" i="8"/>
  <c r="G202" i="8"/>
  <c r="F202" i="8"/>
  <c r="E202" i="8"/>
  <c r="D202" i="8"/>
  <c r="C202" i="8"/>
  <c r="B202" i="8"/>
  <c r="J201" i="8"/>
  <c r="I201" i="8"/>
  <c r="H201" i="8"/>
  <c r="G201" i="8"/>
  <c r="F201" i="8"/>
  <c r="E201" i="8"/>
  <c r="D201" i="8"/>
  <c r="C201" i="8"/>
  <c r="B201" i="8"/>
  <c r="J200" i="8"/>
  <c r="I200" i="8"/>
  <c r="H200" i="8"/>
  <c r="G200" i="8"/>
  <c r="F200" i="8"/>
  <c r="E200" i="8"/>
  <c r="D200" i="8"/>
  <c r="C200" i="8"/>
  <c r="B200" i="8"/>
  <c r="J199" i="8"/>
  <c r="I199" i="8"/>
  <c r="H199" i="8"/>
  <c r="G199" i="8"/>
  <c r="F199" i="8"/>
  <c r="E199" i="8"/>
  <c r="D199" i="8"/>
  <c r="C199" i="8"/>
  <c r="B199" i="8"/>
  <c r="J198" i="8"/>
  <c r="I198" i="8"/>
  <c r="H198" i="8"/>
  <c r="G198" i="8"/>
  <c r="F198" i="8"/>
  <c r="E198" i="8"/>
  <c r="D198" i="8"/>
  <c r="C198" i="8"/>
  <c r="B198" i="8"/>
  <c r="J197" i="8"/>
  <c r="I197" i="8"/>
  <c r="H197" i="8"/>
  <c r="G197" i="8"/>
  <c r="F197" i="8"/>
  <c r="E197" i="8"/>
  <c r="D197" i="8"/>
  <c r="C197" i="8"/>
  <c r="B197" i="8"/>
  <c r="J196" i="8"/>
  <c r="I196" i="8"/>
  <c r="H196" i="8"/>
  <c r="G196" i="8"/>
  <c r="F196" i="8"/>
  <c r="E196" i="8"/>
  <c r="D196" i="8"/>
  <c r="C196" i="8"/>
  <c r="B196" i="8"/>
  <c r="J195" i="8"/>
  <c r="I195" i="8"/>
  <c r="H195" i="8"/>
  <c r="G195" i="8"/>
  <c r="F195" i="8"/>
  <c r="E195" i="8"/>
  <c r="D195" i="8"/>
  <c r="C195" i="8"/>
  <c r="B195" i="8"/>
  <c r="J194" i="8"/>
  <c r="I194" i="8"/>
  <c r="H194" i="8"/>
  <c r="G194" i="8"/>
  <c r="F194" i="8"/>
  <c r="E194" i="8"/>
  <c r="D194" i="8"/>
  <c r="C194" i="8"/>
  <c r="B194" i="8"/>
  <c r="J193" i="8"/>
  <c r="I193" i="8"/>
  <c r="H193" i="8"/>
  <c r="G193" i="8"/>
  <c r="F193" i="8"/>
  <c r="E193" i="8"/>
  <c r="D193" i="8"/>
  <c r="C193" i="8"/>
  <c r="B193" i="8"/>
  <c r="J192" i="8"/>
  <c r="I192" i="8"/>
  <c r="H192" i="8"/>
  <c r="G192" i="8"/>
  <c r="F192" i="8"/>
  <c r="E192" i="8"/>
  <c r="D192" i="8"/>
  <c r="C192" i="8"/>
  <c r="B192" i="8"/>
  <c r="J191" i="8"/>
  <c r="I191" i="8"/>
  <c r="H191" i="8"/>
  <c r="G191" i="8"/>
  <c r="F191" i="8"/>
  <c r="E191" i="8"/>
  <c r="D191" i="8"/>
  <c r="C191" i="8"/>
  <c r="B191" i="8"/>
  <c r="J190" i="8"/>
  <c r="I190" i="8"/>
  <c r="H190" i="8"/>
  <c r="G190" i="8"/>
  <c r="F190" i="8"/>
  <c r="E190" i="8"/>
  <c r="D190" i="8"/>
  <c r="C190" i="8"/>
  <c r="B190" i="8"/>
  <c r="J189" i="8"/>
  <c r="I189" i="8"/>
  <c r="H189" i="8"/>
  <c r="G189" i="8"/>
  <c r="F189" i="8"/>
  <c r="E189" i="8"/>
  <c r="D189" i="8"/>
  <c r="C189" i="8"/>
  <c r="B189" i="8"/>
  <c r="J188" i="8"/>
  <c r="I188" i="8"/>
  <c r="H188" i="8"/>
  <c r="G188" i="8"/>
  <c r="F188" i="8"/>
  <c r="E188" i="8"/>
  <c r="D188" i="8"/>
  <c r="C188" i="8"/>
  <c r="B188" i="8"/>
  <c r="J187" i="8"/>
  <c r="I187" i="8"/>
  <c r="H187" i="8"/>
  <c r="G187" i="8"/>
  <c r="F187" i="8"/>
  <c r="E187" i="8"/>
  <c r="D187" i="8"/>
  <c r="C187" i="8"/>
  <c r="B187" i="8"/>
  <c r="J186" i="8"/>
  <c r="I186" i="8"/>
  <c r="H186" i="8"/>
  <c r="G186" i="8"/>
  <c r="F186" i="8"/>
  <c r="E186" i="8"/>
  <c r="D186" i="8"/>
  <c r="C186" i="8"/>
  <c r="B186" i="8"/>
  <c r="J185" i="8"/>
  <c r="I185" i="8"/>
  <c r="H185" i="8"/>
  <c r="G185" i="8"/>
  <c r="F185" i="8"/>
  <c r="E185" i="8"/>
  <c r="D185" i="8"/>
  <c r="C185" i="8"/>
  <c r="B185" i="8"/>
  <c r="J184" i="8"/>
  <c r="I184" i="8"/>
  <c r="F184" i="8"/>
  <c r="E184" i="8"/>
  <c r="D184" i="8"/>
  <c r="C184" i="8"/>
  <c r="B184" i="8"/>
  <c r="J183" i="8"/>
  <c r="I183" i="8"/>
  <c r="F183" i="8"/>
  <c r="E183" i="8"/>
  <c r="D183" i="8"/>
  <c r="C183" i="8"/>
  <c r="B183" i="8"/>
  <c r="J182" i="8"/>
  <c r="I182" i="8"/>
  <c r="F182" i="8"/>
  <c r="E182" i="8"/>
  <c r="D182" i="8"/>
  <c r="C182" i="8"/>
  <c r="B182" i="8"/>
  <c r="J181" i="8"/>
  <c r="I181" i="8"/>
  <c r="F181" i="8"/>
  <c r="E181" i="8"/>
  <c r="D181" i="8"/>
  <c r="C181" i="8"/>
  <c r="B181" i="8"/>
  <c r="J180" i="8"/>
  <c r="I180" i="8"/>
  <c r="F180" i="8"/>
  <c r="E180" i="8"/>
  <c r="D180" i="8"/>
  <c r="C180" i="8"/>
  <c r="B180" i="8"/>
  <c r="J179" i="8"/>
  <c r="I179" i="8"/>
  <c r="F179" i="8"/>
  <c r="E179" i="8"/>
  <c r="D179" i="8"/>
  <c r="C179" i="8"/>
  <c r="B179" i="8"/>
  <c r="J178" i="8"/>
  <c r="I178" i="8"/>
  <c r="F178" i="8"/>
  <c r="E178" i="8"/>
  <c r="D178" i="8"/>
  <c r="C178" i="8"/>
  <c r="B178" i="8"/>
  <c r="J177" i="8"/>
  <c r="I177" i="8"/>
  <c r="F177" i="8"/>
  <c r="E177" i="8"/>
  <c r="D177" i="8"/>
  <c r="C177" i="8"/>
  <c r="B177" i="8"/>
  <c r="J176" i="8"/>
  <c r="I176" i="8"/>
  <c r="F176" i="8"/>
  <c r="E176" i="8"/>
  <c r="D176" i="8"/>
  <c r="C176" i="8"/>
  <c r="B176" i="8"/>
  <c r="J175" i="8"/>
  <c r="I175" i="8"/>
  <c r="F175" i="8"/>
  <c r="E175" i="8"/>
  <c r="D175" i="8"/>
  <c r="C175" i="8"/>
  <c r="B175" i="8"/>
  <c r="J174" i="8"/>
  <c r="I174" i="8"/>
  <c r="F174" i="8"/>
  <c r="E174" i="8"/>
  <c r="D174" i="8"/>
  <c r="C174" i="8"/>
  <c r="B174" i="8"/>
  <c r="J173" i="8"/>
  <c r="I173" i="8"/>
  <c r="F173" i="8"/>
  <c r="E173" i="8"/>
  <c r="D173" i="8"/>
  <c r="C173" i="8"/>
  <c r="B173" i="8"/>
  <c r="J172" i="8"/>
  <c r="I172" i="8"/>
  <c r="F172" i="8"/>
  <c r="E172" i="8"/>
  <c r="D172" i="8"/>
  <c r="C172" i="8"/>
  <c r="B172" i="8"/>
  <c r="J171" i="8"/>
  <c r="I171" i="8"/>
  <c r="F171" i="8"/>
  <c r="E171" i="8"/>
  <c r="D171" i="8"/>
  <c r="C171" i="8"/>
  <c r="B171" i="8"/>
  <c r="J170" i="8"/>
  <c r="I170" i="8"/>
  <c r="F170" i="8"/>
  <c r="E170" i="8"/>
  <c r="D170" i="8"/>
  <c r="C170" i="8"/>
  <c r="B170" i="8"/>
  <c r="J169" i="8"/>
  <c r="I169" i="8"/>
  <c r="F169" i="8"/>
  <c r="E169" i="8"/>
  <c r="D169" i="8"/>
  <c r="C169" i="8"/>
  <c r="B169" i="8"/>
  <c r="J168" i="8"/>
  <c r="I168" i="8"/>
  <c r="F168" i="8"/>
  <c r="E168" i="8"/>
  <c r="D168" i="8"/>
  <c r="C168" i="8"/>
  <c r="B168" i="8"/>
  <c r="J167" i="8"/>
  <c r="I167" i="8"/>
  <c r="H167" i="8"/>
  <c r="G167" i="8"/>
  <c r="F167" i="8"/>
  <c r="E167" i="8"/>
  <c r="D167" i="8"/>
  <c r="C167" i="8"/>
  <c r="B167" i="8"/>
  <c r="J166" i="8"/>
  <c r="I166" i="8"/>
  <c r="H166" i="8"/>
  <c r="G166" i="8"/>
  <c r="F166" i="8"/>
  <c r="E166" i="8"/>
  <c r="D166" i="8"/>
  <c r="C166" i="8"/>
  <c r="B166" i="8"/>
  <c r="J165" i="8"/>
  <c r="I165" i="8"/>
  <c r="H165" i="8"/>
  <c r="G165" i="8"/>
  <c r="F165" i="8"/>
  <c r="E165" i="8"/>
  <c r="D165" i="8"/>
  <c r="C165" i="8"/>
  <c r="B165" i="8"/>
  <c r="J164" i="8"/>
  <c r="I164" i="8"/>
  <c r="H164" i="8"/>
  <c r="G164" i="8"/>
  <c r="F164" i="8"/>
  <c r="E164" i="8"/>
  <c r="D164" i="8"/>
  <c r="C164" i="8"/>
  <c r="B164" i="8"/>
  <c r="J163" i="8"/>
  <c r="I163" i="8"/>
  <c r="H163" i="8"/>
  <c r="G163" i="8"/>
  <c r="F163" i="8"/>
  <c r="E163" i="8"/>
  <c r="D163" i="8"/>
  <c r="C163" i="8"/>
  <c r="B163" i="8"/>
  <c r="J162" i="8"/>
  <c r="I162" i="8"/>
  <c r="H162" i="8"/>
  <c r="G162" i="8"/>
  <c r="F162" i="8"/>
  <c r="E162" i="8"/>
  <c r="D162" i="8"/>
  <c r="C162" i="8"/>
  <c r="B162" i="8"/>
  <c r="J161" i="8"/>
  <c r="I161" i="8"/>
  <c r="H161" i="8"/>
  <c r="G161" i="8"/>
  <c r="F161" i="8"/>
  <c r="E161" i="8"/>
  <c r="D161" i="8"/>
  <c r="C161" i="8"/>
  <c r="B161" i="8"/>
  <c r="J160" i="8"/>
  <c r="I160" i="8"/>
  <c r="H160" i="8"/>
  <c r="G160" i="8"/>
  <c r="F160" i="8"/>
  <c r="E160" i="8"/>
  <c r="D160" i="8"/>
  <c r="C160" i="8"/>
  <c r="B160" i="8"/>
  <c r="J159" i="8"/>
  <c r="I159" i="8"/>
  <c r="H159" i="8"/>
  <c r="G159" i="8"/>
  <c r="F159" i="8"/>
  <c r="E159" i="8"/>
  <c r="D159" i="8"/>
  <c r="C159" i="8"/>
  <c r="B159" i="8"/>
  <c r="J158" i="8"/>
  <c r="I158" i="8"/>
  <c r="H158" i="8"/>
  <c r="G158" i="8"/>
  <c r="F158" i="8"/>
  <c r="E158" i="8"/>
  <c r="D158" i="8"/>
  <c r="C158" i="8"/>
  <c r="B158" i="8"/>
  <c r="J157" i="8"/>
  <c r="I157" i="8"/>
  <c r="H157" i="8"/>
  <c r="G157" i="8"/>
  <c r="F157" i="8"/>
  <c r="E157" i="8"/>
  <c r="D157" i="8"/>
  <c r="C157" i="8"/>
  <c r="B157" i="8"/>
  <c r="J156" i="8"/>
  <c r="I156" i="8"/>
  <c r="H156" i="8"/>
  <c r="G156" i="8"/>
  <c r="F156" i="8"/>
  <c r="E156" i="8"/>
  <c r="D156" i="8"/>
  <c r="C156" i="8"/>
  <c r="B156" i="8"/>
  <c r="J155" i="8"/>
  <c r="I155" i="8"/>
  <c r="H155" i="8"/>
  <c r="G155" i="8"/>
  <c r="F155" i="8"/>
  <c r="E155" i="8"/>
  <c r="D155" i="8"/>
  <c r="C155" i="8"/>
  <c r="B155" i="8"/>
  <c r="J154" i="8"/>
  <c r="I154" i="8"/>
  <c r="H154" i="8"/>
  <c r="G154" i="8"/>
  <c r="F154" i="8"/>
  <c r="E154" i="8"/>
  <c r="D154" i="8"/>
  <c r="C154" i="8"/>
  <c r="B154" i="8"/>
  <c r="J153" i="8"/>
  <c r="I153" i="8"/>
  <c r="H153" i="8"/>
  <c r="G153" i="8"/>
  <c r="F153" i="8"/>
  <c r="E153" i="8"/>
  <c r="D153" i="8"/>
  <c r="C153" i="8"/>
  <c r="B153" i="8"/>
  <c r="J152" i="8"/>
  <c r="I152" i="8"/>
  <c r="H152" i="8"/>
  <c r="G152" i="8"/>
  <c r="F152" i="8"/>
  <c r="E152" i="8"/>
  <c r="D152" i="8"/>
  <c r="C152" i="8"/>
  <c r="B152" i="8"/>
  <c r="J151" i="8"/>
  <c r="I151" i="8"/>
  <c r="H151" i="8"/>
  <c r="G151" i="8"/>
  <c r="F151" i="8"/>
  <c r="E151" i="8"/>
  <c r="D151" i="8"/>
  <c r="C151" i="8"/>
  <c r="B151" i="8"/>
  <c r="J150" i="8"/>
  <c r="I150" i="8"/>
  <c r="H150" i="8"/>
  <c r="G150" i="8"/>
  <c r="F150" i="8"/>
  <c r="E150" i="8"/>
  <c r="D150" i="8"/>
  <c r="C150" i="8"/>
  <c r="B150" i="8"/>
  <c r="J149" i="8"/>
  <c r="I149" i="8"/>
  <c r="H149" i="8"/>
  <c r="G149" i="8"/>
  <c r="F149" i="8"/>
  <c r="E149" i="8"/>
  <c r="D149" i="8"/>
  <c r="C149" i="8"/>
  <c r="B149" i="8"/>
  <c r="J148" i="8"/>
  <c r="I148" i="8"/>
  <c r="H148" i="8"/>
  <c r="G148" i="8"/>
  <c r="F148" i="8"/>
  <c r="E148" i="8"/>
  <c r="D148" i="8"/>
  <c r="C148" i="8"/>
  <c r="B148" i="8"/>
  <c r="J147" i="8"/>
  <c r="I147" i="8"/>
  <c r="H147" i="8"/>
  <c r="G147" i="8"/>
  <c r="F147" i="8"/>
  <c r="E147" i="8"/>
  <c r="D147" i="8"/>
  <c r="C147" i="8"/>
  <c r="B147" i="8"/>
  <c r="D146" i="8"/>
  <c r="C146" i="8"/>
  <c r="B146" i="8"/>
  <c r="H146" i="8"/>
  <c r="G146" i="8"/>
  <c r="F146" i="8"/>
  <c r="E146" i="8"/>
  <c r="J146" i="8"/>
  <c r="I146" i="8"/>
  <c r="J145" i="8"/>
  <c r="I145" i="8"/>
  <c r="H145" i="8"/>
  <c r="G145" i="8"/>
  <c r="F145" i="8"/>
  <c r="E145" i="8"/>
  <c r="D145" i="8"/>
  <c r="C145" i="8"/>
  <c r="B145" i="8"/>
  <c r="J144" i="8"/>
  <c r="I144" i="8"/>
  <c r="H144" i="8"/>
  <c r="G144" i="8"/>
  <c r="F144" i="8"/>
  <c r="E144" i="8"/>
  <c r="D144" i="8"/>
  <c r="C144" i="8"/>
  <c r="B144" i="8"/>
  <c r="D143" i="8"/>
  <c r="C143" i="8"/>
  <c r="B143" i="8"/>
  <c r="J143" i="8"/>
  <c r="I143" i="8"/>
  <c r="F143" i="8"/>
  <c r="E143" i="8"/>
  <c r="D142" i="8"/>
  <c r="C142" i="8"/>
  <c r="B142" i="8"/>
  <c r="J142" i="8"/>
  <c r="I142" i="8"/>
  <c r="F142" i="8"/>
  <c r="E142" i="8"/>
  <c r="J141" i="8"/>
  <c r="I141" i="8"/>
  <c r="F141" i="8"/>
  <c r="E141" i="8"/>
  <c r="D141" i="8"/>
  <c r="C141" i="8"/>
  <c r="B141" i="8"/>
  <c r="D140" i="8"/>
  <c r="C140" i="8"/>
  <c r="B140" i="8"/>
  <c r="J140" i="8"/>
  <c r="I140" i="8"/>
  <c r="F140" i="8"/>
  <c r="E140" i="8"/>
  <c r="D139" i="8"/>
  <c r="C139" i="8"/>
  <c r="B139" i="8"/>
  <c r="J139" i="8"/>
  <c r="I139" i="8"/>
  <c r="H139" i="8"/>
  <c r="G139" i="8"/>
  <c r="F139" i="8"/>
  <c r="E139" i="8"/>
  <c r="J138" i="8"/>
  <c r="I138" i="8"/>
  <c r="F138" i="8"/>
  <c r="E138" i="8"/>
  <c r="D138" i="8"/>
  <c r="C138" i="8"/>
  <c r="B138" i="8"/>
  <c r="D137" i="8"/>
  <c r="C137" i="8"/>
  <c r="B137" i="8"/>
  <c r="J137" i="8"/>
  <c r="I137" i="8"/>
  <c r="H137" i="8"/>
  <c r="F137" i="8"/>
  <c r="E137" i="8"/>
  <c r="D136" i="8"/>
  <c r="C136" i="8"/>
  <c r="B136" i="8"/>
  <c r="I136" i="8"/>
  <c r="J136" i="8"/>
  <c r="F136" i="8"/>
  <c r="E136" i="8"/>
  <c r="D135" i="8"/>
  <c r="C135" i="8"/>
  <c r="B135" i="8"/>
  <c r="J135" i="8"/>
  <c r="I135" i="8"/>
  <c r="H135" i="8"/>
  <c r="G135" i="8"/>
  <c r="F135" i="8"/>
  <c r="E135" i="8"/>
  <c r="D134" i="8"/>
  <c r="C134" i="8"/>
  <c r="B134" i="8"/>
  <c r="I134" i="8"/>
  <c r="E134" i="8"/>
  <c r="J134" i="8"/>
  <c r="F134" i="8"/>
  <c r="J133" i="8"/>
  <c r="I133" i="8"/>
  <c r="G133" i="8"/>
  <c r="F133" i="8"/>
  <c r="E133" i="8"/>
  <c r="D133" i="8"/>
  <c r="C133" i="8"/>
  <c r="B133" i="8"/>
  <c r="H133" i="8"/>
  <c r="J132" i="8"/>
  <c r="I132" i="8"/>
  <c r="F132" i="8"/>
  <c r="B132" i="8"/>
  <c r="C132" i="8"/>
  <c r="D132" i="8"/>
  <c r="E132" i="8"/>
  <c r="F131" i="8"/>
  <c r="E131" i="8"/>
  <c r="D131" i="8"/>
  <c r="C131" i="8"/>
  <c r="B131" i="8"/>
  <c r="J131" i="8"/>
  <c r="I131" i="8"/>
  <c r="J130" i="8"/>
  <c r="I130" i="8"/>
  <c r="E130" i="8"/>
  <c r="D130" i="8"/>
  <c r="C130" i="8"/>
  <c r="B130" i="8"/>
  <c r="F130" i="8"/>
  <c r="D129" i="8"/>
  <c r="C129" i="8"/>
  <c r="B129" i="8"/>
  <c r="J129" i="8"/>
  <c r="I129" i="8"/>
  <c r="F129" i="8"/>
  <c r="E129" i="8"/>
  <c r="D128" i="8"/>
  <c r="C128" i="8"/>
  <c r="B128" i="8"/>
  <c r="J128" i="8"/>
  <c r="I128" i="8"/>
  <c r="F128" i="8"/>
  <c r="E128" i="8"/>
  <c r="I127" i="8"/>
  <c r="H127" i="8"/>
  <c r="G127" i="8"/>
  <c r="F127" i="8"/>
  <c r="E127" i="8"/>
  <c r="D127" i="8"/>
  <c r="C127" i="8"/>
  <c r="B127" i="8"/>
  <c r="J127" i="8"/>
  <c r="J126" i="8"/>
  <c r="I126" i="8"/>
  <c r="H126" i="8"/>
  <c r="G126" i="8"/>
  <c r="E126" i="8"/>
  <c r="D126" i="8"/>
  <c r="C126" i="8"/>
  <c r="B126" i="8"/>
  <c r="F126" i="8"/>
  <c r="D125" i="8"/>
  <c r="C125" i="8"/>
  <c r="B125" i="8"/>
  <c r="J125" i="8"/>
  <c r="I125" i="8"/>
  <c r="H125" i="8"/>
  <c r="G125" i="8"/>
  <c r="F125" i="8"/>
  <c r="E125" i="8"/>
  <c r="D124" i="8"/>
  <c r="C124" i="8"/>
  <c r="B124" i="8"/>
  <c r="I124" i="8"/>
  <c r="J124" i="8"/>
  <c r="F124" i="8"/>
  <c r="E124" i="8"/>
  <c r="G124" i="8"/>
  <c r="H124" i="8"/>
  <c r="J123" i="8"/>
  <c r="I123" i="8"/>
  <c r="G123" i="8"/>
  <c r="F123" i="8"/>
  <c r="E123" i="8"/>
  <c r="D123" i="8"/>
  <c r="C123" i="8"/>
  <c r="B123" i="8"/>
  <c r="H123" i="8"/>
  <c r="J122" i="8"/>
  <c r="I122" i="8"/>
  <c r="H122" i="8"/>
  <c r="G122" i="8"/>
  <c r="F122" i="8"/>
  <c r="B122" i="8"/>
  <c r="C122" i="8"/>
  <c r="D122" i="8"/>
  <c r="E122" i="8"/>
  <c r="H121" i="8"/>
  <c r="G121" i="8"/>
  <c r="F121" i="8"/>
  <c r="E121" i="8"/>
  <c r="D121" i="8"/>
  <c r="C121" i="8"/>
  <c r="B121" i="8"/>
  <c r="J121" i="8"/>
  <c r="I121" i="8"/>
  <c r="J120" i="8"/>
  <c r="I120" i="8"/>
  <c r="H120" i="8"/>
  <c r="G120" i="8"/>
  <c r="E120" i="8"/>
  <c r="D120" i="8"/>
  <c r="C120" i="8"/>
  <c r="B120" i="8"/>
  <c r="F120" i="8"/>
  <c r="D119" i="8"/>
  <c r="C119" i="8"/>
  <c r="B119" i="8"/>
  <c r="J119" i="8"/>
  <c r="I119" i="8"/>
  <c r="H119" i="8"/>
  <c r="G119" i="8"/>
  <c r="F119" i="8"/>
  <c r="E119" i="8"/>
  <c r="D118" i="8"/>
  <c r="C118" i="8"/>
  <c r="B118" i="8"/>
  <c r="J118" i="8"/>
  <c r="I118" i="8"/>
  <c r="H118" i="8"/>
  <c r="G118" i="8"/>
  <c r="F118" i="8"/>
  <c r="E118" i="8"/>
  <c r="J117" i="8"/>
  <c r="I117" i="8"/>
  <c r="H117" i="8"/>
  <c r="G117" i="8"/>
  <c r="F117" i="8"/>
  <c r="E117" i="8"/>
  <c r="D117" i="8"/>
  <c r="C117" i="8"/>
  <c r="B117" i="8"/>
  <c r="D116" i="8"/>
  <c r="C116" i="8"/>
  <c r="B116" i="8"/>
  <c r="I116" i="8"/>
  <c r="J116" i="8"/>
  <c r="H116" i="8"/>
  <c r="G116" i="8"/>
  <c r="F116" i="8"/>
  <c r="E116" i="8"/>
  <c r="D115" i="8"/>
  <c r="C115" i="8"/>
  <c r="B115" i="8"/>
  <c r="I115" i="8"/>
  <c r="H115" i="8"/>
  <c r="J115" i="8"/>
  <c r="F115" i="8"/>
  <c r="E115" i="8"/>
  <c r="G115" i="8"/>
  <c r="D114" i="8"/>
  <c r="C114" i="8"/>
  <c r="B114" i="8"/>
  <c r="I114" i="8"/>
  <c r="J114" i="8"/>
  <c r="H114" i="8"/>
  <c r="G114" i="8"/>
  <c r="F114" i="8"/>
  <c r="E114" i="8"/>
  <c r="D113" i="8"/>
  <c r="C113" i="8"/>
  <c r="B113" i="8"/>
  <c r="J113" i="8"/>
  <c r="E113" i="8"/>
  <c r="I113" i="8"/>
  <c r="H113" i="8"/>
  <c r="G113" i="8"/>
  <c r="F113" i="8"/>
  <c r="J112" i="8"/>
  <c r="I112" i="8"/>
  <c r="H112" i="8"/>
  <c r="G112" i="8"/>
  <c r="F112" i="8"/>
  <c r="E112" i="8"/>
  <c r="D112" i="8"/>
  <c r="C112" i="8"/>
  <c r="B112" i="8"/>
  <c r="J111" i="8"/>
  <c r="I111" i="8"/>
  <c r="H111" i="8"/>
  <c r="G111" i="8"/>
  <c r="F111" i="8"/>
  <c r="E111" i="8"/>
  <c r="D111" i="8"/>
  <c r="C111" i="8"/>
  <c r="B111" i="8"/>
  <c r="D110" i="8"/>
  <c r="C110" i="8"/>
  <c r="B110" i="8"/>
  <c r="J110" i="8"/>
  <c r="I110" i="8"/>
  <c r="H110" i="8"/>
  <c r="G110" i="8"/>
  <c r="F110" i="8"/>
  <c r="E110" i="8"/>
  <c r="D109" i="8"/>
  <c r="C109" i="8"/>
  <c r="B109" i="8"/>
  <c r="F109" i="8"/>
  <c r="H109" i="8"/>
  <c r="J109" i="8"/>
  <c r="I109" i="8"/>
  <c r="E109" i="8"/>
  <c r="G109" i="8"/>
  <c r="D108" i="8"/>
  <c r="C108" i="8"/>
  <c r="B108" i="8"/>
  <c r="J108" i="8"/>
  <c r="I108" i="8"/>
  <c r="H108" i="8"/>
  <c r="G108" i="8"/>
  <c r="F108" i="8"/>
  <c r="E108" i="8"/>
  <c r="D107" i="8"/>
  <c r="C107" i="8"/>
  <c r="B107" i="8"/>
  <c r="J107" i="8"/>
  <c r="I107" i="8"/>
  <c r="H107" i="8"/>
  <c r="G107" i="8"/>
  <c r="F107" i="8"/>
  <c r="E107" i="8"/>
  <c r="J106" i="8"/>
  <c r="H106" i="8"/>
  <c r="G106" i="8"/>
  <c r="F106" i="8"/>
  <c r="E106" i="8"/>
  <c r="D106" i="8"/>
  <c r="C106" i="8"/>
  <c r="B106" i="8"/>
  <c r="I106" i="8"/>
  <c r="J105" i="8"/>
  <c r="I105" i="8"/>
  <c r="H105" i="8"/>
  <c r="G105" i="8"/>
  <c r="E105" i="8"/>
  <c r="D105" i="8"/>
  <c r="C105" i="8"/>
  <c r="B105" i="8"/>
  <c r="F105" i="8"/>
  <c r="D104" i="8"/>
  <c r="C104" i="8"/>
  <c r="B104" i="8"/>
  <c r="J104" i="8"/>
  <c r="I104" i="8"/>
  <c r="F104" i="8"/>
  <c r="E104" i="8"/>
  <c r="D103" i="8"/>
  <c r="C103" i="8"/>
  <c r="B103" i="8"/>
  <c r="E103" i="8"/>
  <c r="F103" i="8"/>
  <c r="J103" i="8"/>
  <c r="I103" i="8"/>
  <c r="J102" i="8"/>
  <c r="I102" i="8"/>
  <c r="F102" i="8"/>
  <c r="E102" i="8"/>
  <c r="D102" i="8"/>
  <c r="C102" i="8"/>
  <c r="B102" i="8"/>
  <c r="J101" i="8"/>
  <c r="I101" i="8"/>
  <c r="F101" i="8"/>
  <c r="E101" i="8"/>
  <c r="C101" i="8"/>
  <c r="B101" i="8"/>
  <c r="D101" i="8"/>
  <c r="G100" i="8"/>
  <c r="F100" i="8"/>
  <c r="E100" i="8"/>
  <c r="D100" i="8"/>
  <c r="C100" i="8"/>
  <c r="B100" i="8"/>
  <c r="J100" i="8"/>
  <c r="I100" i="8"/>
  <c r="G99" i="8"/>
  <c r="D99" i="8"/>
  <c r="F99" i="8"/>
  <c r="I99" i="8"/>
  <c r="J99" i="8"/>
  <c r="E99" i="8"/>
  <c r="C99" i="8"/>
  <c r="H99" i="8"/>
  <c r="B99" i="8"/>
  <c r="D98" i="8"/>
  <c r="B98" i="8"/>
  <c r="I98" i="8"/>
  <c r="J98" i="8"/>
  <c r="C98" i="8"/>
  <c r="H98" i="8"/>
  <c r="G98" i="8"/>
  <c r="F98" i="8"/>
  <c r="E98" i="8"/>
  <c r="C97" i="8"/>
  <c r="D97" i="8"/>
  <c r="I97" i="8"/>
  <c r="H97" i="8"/>
  <c r="G97" i="8"/>
  <c r="E97" i="8"/>
  <c r="F97" i="8"/>
  <c r="B97" i="8"/>
  <c r="J97" i="8"/>
  <c r="B96" i="8"/>
  <c r="H96" i="8"/>
  <c r="E96" i="8"/>
  <c r="J96" i="8"/>
  <c r="I96" i="8"/>
  <c r="G96" i="8"/>
  <c r="D96" i="8"/>
  <c r="F96" i="8"/>
  <c r="C96" i="8"/>
  <c r="D95" i="8"/>
  <c r="B95" i="8"/>
  <c r="J95" i="8"/>
  <c r="I95" i="8"/>
  <c r="H95" i="8"/>
  <c r="G95" i="8"/>
  <c r="E95" i="8"/>
  <c r="C95" i="8"/>
  <c r="F95" i="8"/>
  <c r="F94" i="8"/>
  <c r="E94" i="8"/>
  <c r="G94" i="8"/>
  <c r="H94" i="8"/>
  <c r="B94" i="8"/>
  <c r="C94" i="8"/>
  <c r="D94" i="8"/>
  <c r="I94" i="8"/>
  <c r="J94" i="8"/>
  <c r="H93" i="8"/>
  <c r="I93" i="8"/>
  <c r="J93" i="8"/>
  <c r="D93" i="8"/>
  <c r="F93" i="8"/>
  <c r="B93" i="8"/>
  <c r="G93" i="8"/>
  <c r="E93" i="8"/>
  <c r="C93" i="8"/>
  <c r="G92" i="8"/>
  <c r="F92" i="8"/>
  <c r="E92" i="8"/>
  <c r="D92" i="8"/>
  <c r="B92" i="8"/>
  <c r="H92" i="8"/>
  <c r="I92" i="8"/>
  <c r="J92" i="8"/>
  <c r="C92" i="8"/>
  <c r="C91" i="8"/>
  <c r="J91" i="8"/>
  <c r="I91" i="8"/>
  <c r="H91" i="8"/>
  <c r="F91" i="8"/>
  <c r="E91" i="8"/>
  <c r="D91" i="8"/>
  <c r="B91" i="8"/>
  <c r="B90" i="8"/>
  <c r="E90" i="8"/>
  <c r="C90" i="8"/>
  <c r="D90" i="8"/>
  <c r="F90" i="8"/>
  <c r="J90" i="8"/>
  <c r="I90" i="8"/>
  <c r="I89" i="8"/>
  <c r="J89" i="8"/>
  <c r="B89" i="8"/>
  <c r="D89" i="8"/>
  <c r="E89" i="8"/>
  <c r="H89" i="8"/>
  <c r="C89" i="8"/>
  <c r="F89" i="8"/>
  <c r="G89" i="8"/>
  <c r="D88" i="8"/>
  <c r="F88" i="8"/>
  <c r="J88" i="8"/>
  <c r="I88" i="8"/>
  <c r="E88" i="8"/>
  <c r="C88" i="8"/>
  <c r="B88" i="8"/>
  <c r="D87" i="8"/>
  <c r="H87" i="8"/>
  <c r="B87" i="8"/>
  <c r="J87" i="8"/>
  <c r="I87" i="8"/>
  <c r="G87" i="8"/>
  <c r="F87" i="8"/>
  <c r="E87" i="8"/>
  <c r="C87" i="8"/>
  <c r="J86" i="8"/>
  <c r="B86" i="8"/>
  <c r="E86" i="8"/>
  <c r="I86" i="8"/>
  <c r="D86" i="8"/>
  <c r="F86" i="8"/>
  <c r="G86" i="8"/>
  <c r="H86" i="8"/>
  <c r="C86" i="8"/>
  <c r="C85" i="8"/>
  <c r="G85" i="8"/>
  <c r="J85" i="8"/>
  <c r="I85" i="8"/>
  <c r="H85" i="8"/>
  <c r="F85" i="8"/>
  <c r="E85" i="8"/>
  <c r="D85" i="8"/>
  <c r="B85" i="8"/>
  <c r="E84" i="8"/>
  <c r="I84" i="8"/>
  <c r="J84" i="8"/>
  <c r="G84" i="8"/>
  <c r="C84" i="8"/>
  <c r="B84" i="8"/>
  <c r="D84" i="8"/>
  <c r="H84" i="8"/>
  <c r="F84" i="8"/>
  <c r="D83" i="8"/>
  <c r="C83" i="8"/>
  <c r="B83" i="8"/>
  <c r="J83" i="8"/>
  <c r="G83" i="8"/>
  <c r="E83" i="8"/>
  <c r="F83" i="8"/>
  <c r="H83" i="8"/>
  <c r="I83" i="8"/>
  <c r="E82" i="8"/>
  <c r="F82" i="8"/>
  <c r="G82" i="8"/>
  <c r="H82" i="8"/>
  <c r="B82" i="8"/>
  <c r="D82" i="8"/>
  <c r="I82" i="8"/>
  <c r="J82" i="8"/>
  <c r="C82" i="8"/>
  <c r="J81" i="8"/>
  <c r="D81" i="8"/>
  <c r="B81" i="8"/>
  <c r="I81" i="8"/>
  <c r="H81" i="8"/>
  <c r="G81" i="8"/>
  <c r="F81" i="8"/>
  <c r="E81" i="8"/>
  <c r="C81" i="8"/>
  <c r="D80" i="8"/>
  <c r="B80" i="8"/>
  <c r="F80" i="8"/>
  <c r="G80" i="8"/>
  <c r="H80" i="8"/>
  <c r="I80" i="8"/>
  <c r="J80" i="8"/>
  <c r="E80" i="8"/>
  <c r="C80" i="8"/>
  <c r="C79" i="8"/>
  <c r="J79" i="8"/>
  <c r="I79" i="8"/>
  <c r="E79" i="8"/>
  <c r="F79" i="8"/>
  <c r="G79" i="8"/>
  <c r="H79" i="8"/>
  <c r="D79" i="8"/>
  <c r="B79" i="8"/>
  <c r="F78" i="8"/>
  <c r="D78" i="8"/>
  <c r="B78" i="8"/>
  <c r="J78" i="8"/>
  <c r="I78" i="8"/>
  <c r="H78" i="8"/>
  <c r="G78" i="8"/>
  <c r="E78" i="8"/>
  <c r="C78" i="8"/>
  <c r="I77" i="8"/>
  <c r="C77" i="8"/>
  <c r="E77" i="8"/>
  <c r="F77" i="8"/>
  <c r="G77" i="8"/>
  <c r="H77" i="8"/>
  <c r="J77" i="8"/>
  <c r="D77" i="8"/>
  <c r="B77" i="8"/>
  <c r="F76" i="8"/>
  <c r="D76" i="8"/>
  <c r="J76" i="8"/>
  <c r="I76" i="8"/>
  <c r="H76" i="8"/>
  <c r="G76" i="8"/>
  <c r="E76" i="8"/>
  <c r="C76" i="8"/>
  <c r="B76" i="8"/>
  <c r="F75" i="8"/>
  <c r="C75" i="8"/>
  <c r="E75" i="8"/>
  <c r="G75" i="8"/>
  <c r="H75" i="8"/>
  <c r="I75" i="8"/>
  <c r="B75" i="8"/>
  <c r="D75" i="8"/>
  <c r="J75" i="8"/>
  <c r="B74" i="8"/>
  <c r="E74" i="8"/>
  <c r="G74" i="8"/>
  <c r="D74" i="8"/>
  <c r="C74" i="8"/>
  <c r="J74" i="8"/>
  <c r="I74" i="8"/>
  <c r="H74" i="8"/>
  <c r="F74" i="8"/>
  <c r="G73" i="8"/>
  <c r="H73" i="8"/>
  <c r="I73" i="8"/>
  <c r="D73" i="8"/>
  <c r="J73" i="8"/>
  <c r="B73" i="8"/>
  <c r="C73" i="8"/>
  <c r="E73" i="8"/>
  <c r="F73" i="8"/>
  <c r="J72" i="8"/>
  <c r="G72" i="8"/>
  <c r="I72" i="8"/>
  <c r="F72" i="8"/>
  <c r="E72" i="8"/>
  <c r="D72" i="8"/>
  <c r="B72" i="8"/>
  <c r="H72" i="8"/>
  <c r="C72" i="8"/>
  <c r="B71" i="8"/>
  <c r="D71" i="8"/>
  <c r="J71" i="8"/>
  <c r="C71" i="8"/>
  <c r="I71" i="8"/>
  <c r="H71" i="8"/>
  <c r="G71" i="8"/>
  <c r="F71" i="8"/>
  <c r="E71" i="8"/>
  <c r="C70" i="8"/>
  <c r="E70" i="8"/>
  <c r="J70" i="8"/>
  <c r="I70" i="8"/>
  <c r="H70" i="8"/>
  <c r="G70" i="8"/>
  <c r="F70" i="8"/>
  <c r="D70" i="8"/>
  <c r="B70" i="8"/>
  <c r="F69" i="8"/>
  <c r="B69" i="8"/>
  <c r="D69" i="8"/>
  <c r="J69" i="8"/>
  <c r="I69" i="8"/>
  <c r="H69" i="8"/>
  <c r="G69" i="8"/>
  <c r="E69" i="8"/>
  <c r="C69" i="8"/>
  <c r="C68" i="8"/>
  <c r="D68" i="8"/>
  <c r="F68" i="8"/>
  <c r="G68" i="8"/>
  <c r="H68" i="8"/>
  <c r="J68" i="8"/>
  <c r="I68" i="8"/>
  <c r="E68" i="8"/>
  <c r="B68" i="8"/>
  <c r="I67" i="8"/>
  <c r="H67" i="8"/>
  <c r="G67" i="8"/>
  <c r="B67" i="8"/>
  <c r="C67" i="8"/>
  <c r="D67" i="8"/>
  <c r="E67" i="8"/>
  <c r="J67" i="8"/>
  <c r="F67" i="8"/>
  <c r="I66" i="8"/>
  <c r="J66" i="8"/>
  <c r="F66" i="8"/>
  <c r="D66" i="8"/>
  <c r="C66" i="8"/>
  <c r="B66" i="8"/>
  <c r="E66" i="8"/>
  <c r="H66" i="8"/>
  <c r="G66" i="8"/>
  <c r="C65" i="8"/>
  <c r="E65" i="8"/>
  <c r="F65" i="8"/>
  <c r="D65" i="8"/>
  <c r="B65" i="8"/>
  <c r="J65" i="8"/>
  <c r="I65" i="8"/>
  <c r="B64" i="8"/>
  <c r="D64" i="8"/>
  <c r="E64" i="8"/>
  <c r="J64" i="8"/>
  <c r="C64" i="8"/>
  <c r="I64" i="8"/>
  <c r="F64" i="8"/>
  <c r="C63" i="8"/>
  <c r="B63" i="8"/>
  <c r="E62" i="8"/>
  <c r="D62" i="8"/>
  <c r="C62" i="8"/>
  <c r="B62" i="8"/>
  <c r="J62" i="8"/>
  <c r="I62" i="8"/>
  <c r="F62" i="8"/>
  <c r="D61" i="8"/>
  <c r="C61" i="8"/>
  <c r="B61" i="8"/>
  <c r="J61" i="8"/>
  <c r="I61" i="8"/>
  <c r="F61" i="8"/>
  <c r="E61" i="8"/>
  <c r="J60" i="8"/>
  <c r="I60" i="8"/>
  <c r="E60" i="8"/>
  <c r="D60" i="8"/>
  <c r="C60" i="8"/>
  <c r="B60" i="8"/>
  <c r="F60" i="8"/>
  <c r="B59" i="8"/>
  <c r="E59" i="8"/>
  <c r="D59" i="8"/>
  <c r="I59" i="8"/>
  <c r="C59" i="8"/>
  <c r="F59" i="8"/>
  <c r="J59" i="8"/>
  <c r="I58" i="8"/>
  <c r="J58" i="8"/>
  <c r="B58" i="8"/>
  <c r="C58" i="8"/>
  <c r="D58" i="8"/>
  <c r="E58" i="8"/>
  <c r="F58" i="8"/>
  <c r="C57" i="8"/>
  <c r="D57" i="8"/>
  <c r="E57" i="8"/>
  <c r="J57" i="8"/>
  <c r="F57" i="8"/>
  <c r="I57" i="8"/>
  <c r="B57" i="8"/>
  <c r="F56" i="8"/>
  <c r="E56" i="8"/>
  <c r="D56" i="8"/>
  <c r="B56" i="8"/>
  <c r="G56" i="8"/>
  <c r="C56" i="8"/>
  <c r="J56" i="8"/>
  <c r="I56" i="8"/>
  <c r="H56" i="8"/>
  <c r="B55" i="8"/>
  <c r="I55" i="8"/>
  <c r="H55" i="8"/>
  <c r="G55" i="8"/>
  <c r="E55" i="8"/>
  <c r="D55" i="8"/>
  <c r="C55" i="8"/>
  <c r="F55" i="8"/>
  <c r="J55" i="8"/>
  <c r="I54" i="8"/>
  <c r="J54" i="8"/>
  <c r="D54" i="8"/>
  <c r="C54" i="8"/>
  <c r="B54" i="8"/>
  <c r="E54" i="8"/>
  <c r="F54" i="8"/>
  <c r="C53" i="8"/>
  <c r="D53" i="8"/>
  <c r="E53" i="8"/>
  <c r="F53" i="8"/>
  <c r="I53" i="8"/>
  <c r="J53" i="8"/>
  <c r="B53" i="8"/>
  <c r="F52" i="8"/>
  <c r="G52" i="8"/>
  <c r="H52" i="8"/>
  <c r="J52" i="8"/>
  <c r="B52" i="8"/>
  <c r="I52" i="8"/>
  <c r="C52" i="8"/>
  <c r="D52" i="8"/>
  <c r="E52" i="8"/>
  <c r="J51" i="8"/>
  <c r="B51" i="8"/>
  <c r="C51" i="8"/>
  <c r="D51" i="8"/>
  <c r="F51" i="8"/>
  <c r="I51" i="8"/>
  <c r="E51" i="8"/>
  <c r="C50" i="8"/>
  <c r="D50" i="8"/>
  <c r="E50" i="8"/>
  <c r="B50" i="8"/>
  <c r="F50" i="8"/>
  <c r="I50" i="8"/>
  <c r="J50" i="8"/>
  <c r="F49" i="8"/>
  <c r="B49" i="8"/>
  <c r="C49" i="8"/>
  <c r="D49" i="8"/>
  <c r="E49" i="8"/>
  <c r="J49" i="8"/>
  <c r="I49" i="8"/>
  <c r="B48" i="8"/>
  <c r="E48" i="8"/>
  <c r="D48" i="8"/>
  <c r="C48" i="8"/>
  <c r="J48" i="8"/>
  <c r="F48" i="8"/>
  <c r="I48" i="8"/>
  <c r="E47" i="8"/>
  <c r="J47" i="8"/>
  <c r="I47" i="8"/>
  <c r="G47" i="8"/>
  <c r="F47" i="8"/>
  <c r="D47" i="8"/>
  <c r="C47" i="8"/>
  <c r="B47" i="8"/>
  <c r="H47" i="8"/>
  <c r="F46" i="8"/>
  <c r="E46" i="8"/>
  <c r="D46" i="8"/>
  <c r="B46" i="8"/>
  <c r="C46" i="8"/>
  <c r="J46" i="8"/>
  <c r="I46" i="8"/>
  <c r="H46" i="8"/>
  <c r="G46" i="8"/>
  <c r="C45" i="8"/>
  <c r="J45" i="8"/>
  <c r="D45" i="8"/>
  <c r="B45" i="8"/>
  <c r="I45" i="8"/>
  <c r="H45" i="8"/>
  <c r="G45" i="8"/>
  <c r="F45" i="8"/>
  <c r="E45" i="8"/>
  <c r="B44" i="8"/>
  <c r="G44" i="8"/>
  <c r="E44" i="8"/>
  <c r="D44" i="8"/>
  <c r="C44" i="8"/>
  <c r="J44" i="8"/>
  <c r="I44" i="8"/>
  <c r="H44" i="8"/>
  <c r="F44" i="8"/>
  <c r="C43" i="8"/>
  <c r="J43" i="8"/>
  <c r="I43" i="8"/>
  <c r="H43" i="8"/>
  <c r="G43" i="8"/>
  <c r="F43" i="8"/>
  <c r="D43" i="8"/>
  <c r="B43" i="8"/>
  <c r="E43" i="8"/>
  <c r="B42" i="8"/>
  <c r="C42" i="8"/>
  <c r="D42" i="8"/>
  <c r="J42" i="8"/>
  <c r="I42" i="8"/>
  <c r="H42" i="8"/>
  <c r="G42" i="8"/>
  <c r="F42" i="8"/>
  <c r="E42" i="8"/>
  <c r="J41" i="8"/>
  <c r="B41" i="8"/>
  <c r="C41" i="8"/>
  <c r="D41" i="8"/>
  <c r="E41" i="8"/>
  <c r="G41" i="8"/>
  <c r="H41" i="8"/>
  <c r="I41" i="8"/>
  <c r="F41" i="8"/>
  <c r="J40" i="8"/>
  <c r="I40" i="8"/>
  <c r="E40" i="8"/>
  <c r="D40" i="8"/>
  <c r="B40" i="8"/>
  <c r="C40" i="8"/>
  <c r="F40" i="8"/>
  <c r="H39" i="8"/>
  <c r="E39" i="8"/>
  <c r="I39" i="8"/>
  <c r="J39" i="8"/>
  <c r="B39" i="8"/>
  <c r="C39" i="8"/>
  <c r="D39" i="8"/>
  <c r="F39" i="8"/>
  <c r="G39" i="8"/>
  <c r="J38" i="8"/>
  <c r="I38" i="8"/>
  <c r="H38" i="8"/>
  <c r="G38" i="8"/>
  <c r="F38" i="8"/>
  <c r="E38" i="8"/>
  <c r="D38" i="8"/>
  <c r="C38" i="8"/>
  <c r="B38" i="8"/>
  <c r="I37" i="8"/>
  <c r="J37" i="8"/>
  <c r="H37" i="8"/>
  <c r="B37" i="8"/>
  <c r="C37" i="8"/>
  <c r="D37" i="8"/>
  <c r="E37" i="8"/>
  <c r="F37" i="8"/>
  <c r="G37" i="8"/>
  <c r="E36" i="8"/>
  <c r="C36" i="8"/>
  <c r="B36" i="8"/>
  <c r="D36" i="8"/>
  <c r="F36" i="8"/>
  <c r="G36" i="8"/>
  <c r="H36" i="8"/>
  <c r="I36" i="8"/>
  <c r="J36" i="8"/>
  <c r="F35" i="8"/>
  <c r="E35" i="8"/>
  <c r="D35" i="8"/>
  <c r="J35" i="8"/>
  <c r="B35" i="8"/>
  <c r="I35" i="8"/>
  <c r="H35" i="8"/>
  <c r="C35" i="8"/>
  <c r="G35" i="8"/>
  <c r="E34" i="8"/>
  <c r="D34" i="8"/>
  <c r="C34" i="8"/>
  <c r="B34" i="8"/>
  <c r="J34" i="8"/>
  <c r="I34" i="8"/>
  <c r="F34" i="8"/>
  <c r="D33" i="8"/>
  <c r="E33" i="8"/>
  <c r="F33" i="8"/>
  <c r="J33" i="8"/>
  <c r="I33" i="8"/>
  <c r="B33" i="8"/>
  <c r="C33" i="8"/>
  <c r="B32" i="8"/>
  <c r="C32" i="8"/>
  <c r="D32" i="8"/>
  <c r="E32" i="8"/>
  <c r="F32" i="8"/>
  <c r="I32" i="8"/>
  <c r="J32" i="8"/>
  <c r="C31" i="8"/>
  <c r="B31" i="8"/>
  <c r="J31" i="8"/>
  <c r="I31" i="8"/>
  <c r="F31" i="8"/>
  <c r="E31" i="8"/>
  <c r="D31" i="8"/>
  <c r="F30" i="8"/>
  <c r="I30" i="8"/>
  <c r="J30" i="8"/>
  <c r="B30" i="8"/>
  <c r="C30" i="8"/>
  <c r="D30" i="8"/>
  <c r="E30" i="8"/>
  <c r="B29" i="8"/>
  <c r="C29" i="8"/>
  <c r="E29" i="8"/>
  <c r="F29" i="8"/>
  <c r="I29" i="8"/>
  <c r="J29" i="8"/>
  <c r="D29" i="8"/>
  <c r="I28" i="8"/>
  <c r="B28" i="8"/>
  <c r="C28" i="8"/>
  <c r="D28" i="8"/>
  <c r="E28" i="8"/>
  <c r="F28" i="8"/>
  <c r="J28" i="8"/>
  <c r="F27" i="8"/>
  <c r="I27" i="8"/>
  <c r="J27" i="8"/>
  <c r="E27" i="8"/>
  <c r="C27" i="8"/>
  <c r="B27" i="8"/>
  <c r="D27" i="8"/>
  <c r="F26" i="8"/>
  <c r="J26" i="8"/>
  <c r="I26" i="8"/>
  <c r="B26" i="8"/>
  <c r="C26" i="8"/>
  <c r="D26" i="8"/>
  <c r="E26" i="8"/>
  <c r="D25" i="8"/>
  <c r="H25" i="8"/>
  <c r="I25" i="8"/>
  <c r="J25" i="8"/>
  <c r="E25" i="8"/>
  <c r="F25" i="8"/>
  <c r="G25" i="8"/>
  <c r="C25" i="8"/>
  <c r="B25" i="8"/>
  <c r="F24" i="8"/>
  <c r="E24" i="8"/>
  <c r="D24" i="8"/>
  <c r="C24" i="8"/>
  <c r="B24" i="8"/>
  <c r="J24" i="8"/>
  <c r="I24" i="8"/>
  <c r="E23" i="8"/>
  <c r="I23" i="8"/>
  <c r="J23" i="8"/>
  <c r="B23" i="8"/>
  <c r="C23" i="8"/>
  <c r="D23" i="8"/>
  <c r="F23" i="8"/>
  <c r="E22" i="8"/>
  <c r="D22" i="8"/>
  <c r="C22" i="8"/>
  <c r="B22" i="8"/>
  <c r="J22" i="8"/>
  <c r="I22" i="8"/>
  <c r="H22" i="8"/>
  <c r="G22" i="8"/>
  <c r="F22" i="8"/>
  <c r="J21" i="8"/>
  <c r="I21" i="8"/>
  <c r="F21" i="8"/>
  <c r="E21" i="8"/>
  <c r="D21" i="8"/>
  <c r="C21" i="8"/>
  <c r="B21" i="8"/>
  <c r="C20" i="8"/>
  <c r="D20" i="8"/>
  <c r="F20" i="8"/>
  <c r="E20" i="8"/>
  <c r="B20" i="8"/>
  <c r="J20" i="8"/>
  <c r="I20" i="8"/>
  <c r="H20" i="8"/>
  <c r="G20" i="8"/>
  <c r="B19" i="8"/>
  <c r="C19" i="8"/>
  <c r="D19" i="8"/>
  <c r="E19" i="8"/>
  <c r="F19" i="8"/>
  <c r="G19" i="8"/>
  <c r="H19" i="8"/>
  <c r="I19" i="8"/>
  <c r="J19" i="8"/>
  <c r="J18" i="8"/>
  <c r="B18" i="8"/>
  <c r="C18" i="8"/>
  <c r="D18" i="8"/>
  <c r="E18" i="8"/>
  <c r="F18" i="8"/>
  <c r="I18" i="8"/>
  <c r="B17" i="8"/>
  <c r="C17" i="8"/>
  <c r="D17" i="8"/>
  <c r="E17" i="8"/>
  <c r="F17" i="8"/>
  <c r="G17" i="8"/>
  <c r="H17" i="8"/>
  <c r="I17" i="8"/>
  <c r="J17" i="8"/>
  <c r="F16" i="8"/>
  <c r="I16" i="8"/>
  <c r="H16" i="8"/>
  <c r="G16" i="8"/>
  <c r="B16" i="8"/>
  <c r="E16" i="8"/>
  <c r="D16" i="8"/>
  <c r="C16" i="8"/>
  <c r="J16" i="8"/>
  <c r="I15" i="8"/>
  <c r="F15" i="8"/>
  <c r="E15" i="8"/>
  <c r="D15" i="8"/>
  <c r="C15" i="8"/>
  <c r="B15" i="8"/>
  <c r="J15" i="8"/>
  <c r="B14" i="8"/>
  <c r="C14" i="8"/>
  <c r="D14" i="8"/>
  <c r="E14" i="8"/>
  <c r="G14" i="8"/>
  <c r="I14" i="8"/>
  <c r="H14" i="8"/>
  <c r="F14" i="8"/>
  <c r="J14" i="8"/>
  <c r="J13" i="8"/>
  <c r="I13" i="8"/>
  <c r="H13" i="8"/>
  <c r="G13" i="8"/>
  <c r="F13" i="8"/>
  <c r="E13" i="8"/>
  <c r="D13" i="8"/>
  <c r="C13" i="8"/>
  <c r="B13" i="8"/>
  <c r="G12" i="8"/>
  <c r="J12" i="8"/>
  <c r="I12" i="8"/>
  <c r="H12" i="8"/>
  <c r="F12" i="8"/>
  <c r="E12" i="8"/>
  <c r="D12" i="8"/>
  <c r="C12" i="8"/>
  <c r="B12" i="8"/>
  <c r="E11" i="8"/>
  <c r="F11" i="8"/>
  <c r="I11" i="8"/>
  <c r="G11" i="8"/>
  <c r="H11" i="8"/>
  <c r="C11" i="8"/>
  <c r="B11" i="8"/>
  <c r="D11" i="8"/>
  <c r="J11" i="8"/>
  <c r="J10" i="8"/>
  <c r="E10" i="8"/>
  <c r="B10" i="8"/>
  <c r="C10" i="8"/>
  <c r="D10" i="8"/>
  <c r="F10" i="8"/>
  <c r="G10" i="8"/>
  <c r="H10" i="8"/>
  <c r="I10" i="8"/>
  <c r="I9" i="8"/>
  <c r="D9" i="8"/>
  <c r="C9" i="8"/>
  <c r="B9" i="8"/>
  <c r="H9" i="8"/>
  <c r="J9" i="8"/>
  <c r="G9" i="8"/>
  <c r="F9" i="8"/>
  <c r="E9" i="8"/>
  <c r="G8" i="8"/>
  <c r="J8" i="8"/>
  <c r="I8" i="8"/>
  <c r="H8" i="8"/>
  <c r="B8" i="8"/>
  <c r="F8" i="8"/>
  <c r="E8" i="8"/>
  <c r="D8" i="8"/>
  <c r="C8" i="8"/>
  <c r="B7" i="8"/>
  <c r="C7" i="8"/>
  <c r="J7" i="8"/>
  <c r="I7" i="8"/>
  <c r="H7" i="8"/>
  <c r="G7" i="8"/>
  <c r="F7" i="8"/>
  <c r="E7" i="8"/>
  <c r="D7" i="8"/>
  <c r="L24" i="7"/>
  <c r="N24" i="7" s="1"/>
  <c r="H184" i="8" s="1"/>
  <c r="AA23" i="7"/>
  <c r="AD23" i="7" s="1"/>
  <c r="K24" i="7" s="1"/>
  <c r="M24" i="7" s="1"/>
  <c r="G184" i="8" s="1"/>
  <c r="L23" i="7"/>
  <c r="N23" i="7" s="1"/>
  <c r="H183" i="8" s="1"/>
  <c r="AA22" i="7"/>
  <c r="AD22" i="7" s="1"/>
  <c r="K23" i="7" s="1"/>
  <c r="M23" i="7" s="1"/>
  <c r="G183" i="8" s="1"/>
  <c r="L22" i="7"/>
  <c r="N22" i="7" s="1"/>
  <c r="H182" i="8" s="1"/>
  <c r="AA21" i="7"/>
  <c r="AD21" i="7" s="1"/>
  <c r="K22" i="7" s="1"/>
  <c r="M22" i="7" s="1"/>
  <c r="G182" i="8" s="1"/>
  <c r="L21" i="7"/>
  <c r="N21" i="7" s="1"/>
  <c r="H181" i="8" s="1"/>
  <c r="AA20" i="7"/>
  <c r="AD20" i="7" s="1"/>
  <c r="K21" i="7" s="1"/>
  <c r="M21" i="7" s="1"/>
  <c r="G181" i="8" s="1"/>
  <c r="L20" i="7"/>
  <c r="N20" i="7" s="1"/>
  <c r="H180" i="8" s="1"/>
  <c r="AA19" i="7"/>
  <c r="AD19" i="7" s="1"/>
  <c r="K20" i="7" s="1"/>
  <c r="M20" i="7" s="1"/>
  <c r="G180" i="8" s="1"/>
  <c r="L19" i="7"/>
  <c r="N19" i="7" s="1"/>
  <c r="H179" i="8" s="1"/>
  <c r="AA18" i="7"/>
  <c r="AD18" i="7" s="1"/>
  <c r="K19" i="7" s="1"/>
  <c r="M19" i="7" s="1"/>
  <c r="G179" i="8" s="1"/>
  <c r="AA17" i="7"/>
  <c r="AD17" i="7" s="1"/>
  <c r="K18" i="7" s="1"/>
  <c r="M18" i="7" s="1"/>
  <c r="G178" i="8" s="1"/>
  <c r="L18" i="7"/>
  <c r="N18" i="7" s="1"/>
  <c r="H178" i="8" s="1"/>
  <c r="AA16" i="7"/>
  <c r="AD16" i="7" s="1"/>
  <c r="K17" i="7" s="1"/>
  <c r="M17" i="7" s="1"/>
  <c r="G177" i="8" s="1"/>
  <c r="L17" i="7"/>
  <c r="N17" i="7" s="1"/>
  <c r="H177" i="8" s="1"/>
  <c r="L16" i="7"/>
  <c r="N16" i="7" s="1"/>
  <c r="H176" i="8" s="1"/>
  <c r="AA15" i="7"/>
  <c r="AD15" i="7" s="1"/>
  <c r="K16" i="7" s="1"/>
  <c r="M16" i="7" s="1"/>
  <c r="G176" i="8" s="1"/>
  <c r="AA14" i="7"/>
  <c r="AD14" i="7" s="1"/>
  <c r="K15" i="7" s="1"/>
  <c r="M15" i="7" s="1"/>
  <c r="G175" i="8" s="1"/>
  <c r="L15" i="7"/>
  <c r="N15" i="7" s="1"/>
  <c r="H175" i="8" s="1"/>
  <c r="L14" i="7"/>
  <c r="N14" i="7" s="1"/>
  <c r="H174" i="8" s="1"/>
  <c r="AA13" i="7"/>
  <c r="AD13" i="7" s="1"/>
  <c r="K14" i="7" s="1"/>
  <c r="M14" i="7" s="1"/>
  <c r="G174" i="8" s="1"/>
  <c r="AA12" i="7"/>
  <c r="AD12" i="7" s="1"/>
  <c r="K13" i="7" s="1"/>
  <c r="M13" i="7" s="1"/>
  <c r="G173" i="8" s="1"/>
  <c r="L13" i="7"/>
  <c r="N13" i="7" s="1"/>
  <c r="H173" i="8" s="1"/>
  <c r="AA11" i="7"/>
  <c r="AD11" i="7" s="1"/>
  <c r="K12" i="7" s="1"/>
  <c r="M12" i="7" s="1"/>
  <c r="G172" i="8" s="1"/>
  <c r="L12" i="7"/>
  <c r="N12" i="7" s="1"/>
  <c r="H172" i="8" s="1"/>
  <c r="L11" i="7"/>
  <c r="N11" i="7" s="1"/>
  <c r="H171" i="8" s="1"/>
  <c r="AA10" i="7"/>
  <c r="AD10" i="7" s="1"/>
  <c r="K11" i="7" s="1"/>
  <c r="M11" i="7" s="1"/>
  <c r="G171" i="8" s="1"/>
  <c r="L10" i="7"/>
  <c r="N10" i="7" s="1"/>
  <c r="H170" i="8" s="1"/>
  <c r="AA9" i="7"/>
  <c r="AD9" i="7" s="1"/>
  <c r="K10" i="7" s="1"/>
  <c r="M10" i="7" s="1"/>
  <c r="G170" i="8" s="1"/>
  <c r="L9" i="7"/>
  <c r="N9" i="7" s="1"/>
  <c r="H169" i="8" s="1"/>
  <c r="AA8" i="7"/>
  <c r="AD8" i="7" s="1"/>
  <c r="K9" i="7" s="1"/>
  <c r="M9" i="7" s="1"/>
  <c r="G169" i="8" s="1"/>
  <c r="AA7" i="7"/>
  <c r="AD7" i="7" s="1"/>
  <c r="K8" i="7" s="1"/>
  <c r="M8" i="7" s="1"/>
  <c r="G168" i="8" s="1"/>
  <c r="L8" i="7"/>
  <c r="N8" i="7" s="1"/>
  <c r="H168" i="8" s="1"/>
  <c r="AA22" i="6"/>
  <c r="AD22" i="6" s="1"/>
  <c r="K23" i="6" s="1"/>
  <c r="M23" i="6" s="1"/>
  <c r="G143" i="8" s="1"/>
  <c r="L23" i="6"/>
  <c r="N23" i="6" s="1"/>
  <c r="H143" i="8" s="1"/>
  <c r="AA21" i="6"/>
  <c r="AD21" i="6" s="1"/>
  <c r="K22" i="6" s="1"/>
  <c r="M22" i="6" s="1"/>
  <c r="G142" i="8" s="1"/>
  <c r="L22" i="6"/>
  <c r="N22" i="6" s="1"/>
  <c r="H142" i="8" s="1"/>
  <c r="L21" i="6"/>
  <c r="N21" i="6" s="1"/>
  <c r="H141" i="8" s="1"/>
  <c r="AA20" i="6"/>
  <c r="AD20" i="6" s="1"/>
  <c r="K21" i="6" s="1"/>
  <c r="M21" i="6" s="1"/>
  <c r="G141" i="8" s="1"/>
  <c r="AA19" i="6"/>
  <c r="AD19" i="6" s="1"/>
  <c r="K20" i="6" s="1"/>
  <c r="M20" i="6" s="1"/>
  <c r="G140" i="8" s="1"/>
  <c r="L20" i="6"/>
  <c r="N20" i="6" s="1"/>
  <c r="H140" i="8" s="1"/>
  <c r="L18" i="6"/>
  <c r="N18" i="6" s="1"/>
  <c r="H138" i="8" s="1"/>
  <c r="AA17" i="6"/>
  <c r="AD17" i="6" s="1"/>
  <c r="K18" i="6" s="1"/>
  <c r="M18" i="6" s="1"/>
  <c r="G138" i="8" s="1"/>
  <c r="AA15" i="6"/>
  <c r="AD15" i="6" s="1"/>
  <c r="K16" i="6" s="1"/>
  <c r="M16" i="6" s="1"/>
  <c r="G136" i="8" s="1"/>
  <c r="L16" i="6"/>
  <c r="N16" i="6" s="1"/>
  <c r="H136" i="8" s="1"/>
  <c r="AA13" i="6"/>
  <c r="AD13" i="6" s="1"/>
  <c r="K14" i="6" s="1"/>
  <c r="M14" i="6" s="1"/>
  <c r="G134" i="8" s="1"/>
  <c r="L14" i="6"/>
  <c r="N14" i="6" s="1"/>
  <c r="H134" i="8" s="1"/>
  <c r="AA11" i="6"/>
  <c r="AD11" i="6" s="1"/>
  <c r="K12" i="6" s="1"/>
  <c r="M12" i="6" s="1"/>
  <c r="G132" i="8" s="1"/>
  <c r="L12" i="6"/>
  <c r="N12" i="6" s="1"/>
  <c r="H132" i="8" s="1"/>
  <c r="L11" i="6"/>
  <c r="N11" i="6" s="1"/>
  <c r="H131" i="8" s="1"/>
  <c r="AA10" i="6"/>
  <c r="AD10" i="6" s="1"/>
  <c r="K11" i="6" s="1"/>
  <c r="M11" i="6" s="1"/>
  <c r="G131" i="8" s="1"/>
  <c r="L10" i="6"/>
  <c r="N10" i="6" s="1"/>
  <c r="H130" i="8" s="1"/>
  <c r="AA9" i="6"/>
  <c r="AD9" i="6" s="1"/>
  <c r="K10" i="6" s="1"/>
  <c r="M10" i="6" s="1"/>
  <c r="G130" i="8" s="1"/>
  <c r="L9" i="6"/>
  <c r="N9" i="6" s="1"/>
  <c r="H129" i="8" s="1"/>
  <c r="AA8" i="6"/>
  <c r="AD8" i="6" s="1"/>
  <c r="K9" i="6" s="1"/>
  <c r="M9" i="6" s="1"/>
  <c r="G129" i="8" s="1"/>
  <c r="AA7" i="6"/>
  <c r="AD7" i="6" s="1"/>
  <c r="K8" i="6" s="1"/>
  <c r="M8" i="6" s="1"/>
  <c r="G128" i="8" s="1"/>
  <c r="L8" i="6"/>
  <c r="N8" i="6" s="1"/>
  <c r="H128" i="8" s="1"/>
  <c r="L24" i="5"/>
  <c r="N24" i="5" s="1"/>
  <c r="H104" i="8" s="1"/>
  <c r="AA23" i="5"/>
  <c r="AD23" i="5" s="1"/>
  <c r="K24" i="5" s="1"/>
  <c r="M24" i="5" s="1"/>
  <c r="G104" i="8" s="1"/>
  <c r="AA22" i="5"/>
  <c r="AD22" i="5" s="1"/>
  <c r="K23" i="5" s="1"/>
  <c r="M23" i="5" s="1"/>
  <c r="G103" i="8" s="1"/>
  <c r="L23" i="5"/>
  <c r="N23" i="5" s="1"/>
  <c r="H103" i="8" s="1"/>
  <c r="AA21" i="5"/>
  <c r="AD21" i="5" s="1"/>
  <c r="K22" i="5" s="1"/>
  <c r="M22" i="5" s="1"/>
  <c r="G102" i="8" s="1"/>
  <c r="L22" i="5"/>
  <c r="N22" i="5" s="1"/>
  <c r="H102" i="8" s="1"/>
  <c r="L21" i="5"/>
  <c r="N21" i="5" s="1"/>
  <c r="H101" i="8" s="1"/>
  <c r="AA20" i="5"/>
  <c r="AD20" i="5" s="1"/>
  <c r="K21" i="5" s="1"/>
  <c r="M21" i="5" s="1"/>
  <c r="G101" i="8" s="1"/>
  <c r="L20" i="5"/>
  <c r="N20" i="5" s="1"/>
  <c r="H100" i="8" s="1"/>
  <c r="AA19" i="5"/>
  <c r="AD19" i="5" s="1"/>
  <c r="K20" i="5" s="1"/>
  <c r="M20" i="5" s="1"/>
  <c r="AA18" i="5"/>
  <c r="AD18" i="5" s="1"/>
  <c r="K19" i="5" s="1"/>
  <c r="M19" i="5" s="1"/>
  <c r="L19" i="5"/>
  <c r="N19" i="5" s="1"/>
  <c r="L18" i="5"/>
  <c r="N18" i="5" s="1"/>
  <c r="AA17" i="5"/>
  <c r="AD17" i="5" s="1"/>
  <c r="K18" i="5" s="1"/>
  <c r="M18" i="5" s="1"/>
  <c r="AA16" i="5"/>
  <c r="AD16" i="5" s="1"/>
  <c r="K17" i="5" s="1"/>
  <c r="M17" i="5" s="1"/>
  <c r="L17" i="5"/>
  <c r="N17" i="5" s="1"/>
  <c r="L16" i="5"/>
  <c r="N16" i="5" s="1"/>
  <c r="AA15" i="5"/>
  <c r="AD15" i="5" s="1"/>
  <c r="K16" i="5" s="1"/>
  <c r="M16" i="5" s="1"/>
  <c r="L15" i="5"/>
  <c r="N15" i="5" s="1"/>
  <c r="AA14" i="5"/>
  <c r="AD14" i="5" s="1"/>
  <c r="K15" i="5" s="1"/>
  <c r="M15" i="5" s="1"/>
  <c r="L14" i="5"/>
  <c r="N14" i="5" s="1"/>
  <c r="AA13" i="5"/>
  <c r="AD13" i="5" s="1"/>
  <c r="K14" i="5" s="1"/>
  <c r="M14" i="5" s="1"/>
  <c r="AA12" i="5"/>
  <c r="AD12" i="5" s="1"/>
  <c r="K13" i="5" s="1"/>
  <c r="M13" i="5" s="1"/>
  <c r="L13" i="5"/>
  <c r="N13" i="5" s="1"/>
  <c r="AA11" i="5"/>
  <c r="AD11" i="5" s="1"/>
  <c r="K12" i="5" s="1"/>
  <c r="M12" i="5" s="1"/>
  <c r="L12" i="5"/>
  <c r="N12" i="5" s="1"/>
  <c r="L10" i="5"/>
  <c r="N10" i="5" s="1"/>
  <c r="H90" i="8" s="1"/>
  <c r="AA9" i="5"/>
  <c r="AD9" i="5" s="1"/>
  <c r="K10" i="5" s="1"/>
  <c r="M10" i="5" s="1"/>
  <c r="G90" i="8" s="1"/>
  <c r="L8" i="5"/>
  <c r="N8" i="5" s="1"/>
  <c r="H88" i="8" s="1"/>
  <c r="AA7" i="5"/>
  <c r="AD7" i="5" s="1"/>
  <c r="K8" i="5" s="1"/>
  <c r="M8" i="5" s="1"/>
  <c r="G88" i="8" s="1"/>
  <c r="L25" i="4"/>
  <c r="N25" i="4" s="1"/>
  <c r="H65" i="8" s="1"/>
  <c r="AA24" i="4"/>
  <c r="AD24" i="4" s="1"/>
  <c r="K25" i="4" s="1"/>
  <c r="M25" i="4" s="1"/>
  <c r="G65" i="8" s="1"/>
  <c r="L24" i="4"/>
  <c r="N24" i="4" s="1"/>
  <c r="H64" i="8" s="1"/>
  <c r="AA23" i="4"/>
  <c r="AD23" i="4" s="1"/>
  <c r="K24" i="4" s="1"/>
  <c r="M24" i="4" s="1"/>
  <c r="G64" i="8" s="1"/>
  <c r="AA22" i="4"/>
  <c r="AD22" i="4" s="1"/>
  <c r="K23" i="4" s="1"/>
  <c r="M23" i="4" s="1"/>
  <c r="G63" i="8" s="1"/>
  <c r="L23" i="4"/>
  <c r="N23" i="4" s="1"/>
  <c r="H63" i="8" s="1"/>
  <c r="L22" i="4"/>
  <c r="N22" i="4" s="1"/>
  <c r="H62" i="8" s="1"/>
  <c r="AA21" i="4"/>
  <c r="AD21" i="4" s="1"/>
  <c r="K22" i="4" s="1"/>
  <c r="M22" i="4" s="1"/>
  <c r="G62" i="8" s="1"/>
  <c r="L21" i="4"/>
  <c r="N21" i="4" s="1"/>
  <c r="H61" i="8" s="1"/>
  <c r="AA20" i="4"/>
  <c r="AD20" i="4" s="1"/>
  <c r="K21" i="4" s="1"/>
  <c r="M21" i="4" s="1"/>
  <c r="G61" i="8" s="1"/>
  <c r="L20" i="4"/>
  <c r="N20" i="4" s="1"/>
  <c r="H60" i="8" s="1"/>
  <c r="AA19" i="4"/>
  <c r="AD19" i="4" s="1"/>
  <c r="K20" i="4" s="1"/>
  <c r="M20" i="4" s="1"/>
  <c r="G60" i="8" s="1"/>
  <c r="L19" i="4"/>
  <c r="N19" i="4" s="1"/>
  <c r="H59" i="8" s="1"/>
  <c r="AA18" i="4"/>
  <c r="AD18" i="4" s="1"/>
  <c r="K19" i="4" s="1"/>
  <c r="M19" i="4" s="1"/>
  <c r="G59" i="8" s="1"/>
  <c r="L18" i="4"/>
  <c r="N18" i="4" s="1"/>
  <c r="H58" i="8" s="1"/>
  <c r="AA17" i="4"/>
  <c r="AD17" i="4" s="1"/>
  <c r="K18" i="4" s="1"/>
  <c r="M18" i="4" s="1"/>
  <c r="G58" i="8" s="1"/>
  <c r="L17" i="4"/>
  <c r="N17" i="4" s="1"/>
  <c r="H57" i="8" s="1"/>
  <c r="AA16" i="4"/>
  <c r="AD16" i="4" s="1"/>
  <c r="K17" i="4" s="1"/>
  <c r="M17" i="4" s="1"/>
  <c r="G57" i="8" s="1"/>
  <c r="L14" i="4"/>
  <c r="N14" i="4" s="1"/>
  <c r="H54" i="8" s="1"/>
  <c r="AA13" i="4"/>
  <c r="AD13" i="4" s="1"/>
  <c r="K14" i="4" s="1"/>
  <c r="M14" i="4" s="1"/>
  <c r="G54" i="8" s="1"/>
  <c r="AA12" i="4"/>
  <c r="AD12" i="4" s="1"/>
  <c r="K13" i="4" s="1"/>
  <c r="M13" i="4" s="1"/>
  <c r="G53" i="8" s="1"/>
  <c r="L13" i="4"/>
  <c r="N13" i="4" s="1"/>
  <c r="H53" i="8" s="1"/>
  <c r="AA10" i="4"/>
  <c r="AD10" i="4" s="1"/>
  <c r="K11" i="4" s="1"/>
  <c r="M11" i="4" s="1"/>
  <c r="G51" i="8" s="1"/>
  <c r="L11" i="4"/>
  <c r="N11" i="4" s="1"/>
  <c r="H51" i="8" s="1"/>
  <c r="L10" i="4"/>
  <c r="N10" i="4" s="1"/>
  <c r="H50" i="8" s="1"/>
  <c r="AA9" i="4"/>
  <c r="AD9" i="4" s="1"/>
  <c r="K10" i="4" s="1"/>
  <c r="M10" i="4" s="1"/>
  <c r="G50" i="8" s="1"/>
  <c r="AA8" i="4"/>
  <c r="AD8" i="4" s="1"/>
  <c r="K9" i="4" s="1"/>
  <c r="M9" i="4" s="1"/>
  <c r="G49" i="8" s="1"/>
  <c r="L9" i="4"/>
  <c r="N9" i="4" s="1"/>
  <c r="H49" i="8" s="1"/>
  <c r="AA7" i="4"/>
  <c r="AD7" i="4" s="1"/>
  <c r="K8" i="4" s="1"/>
  <c r="M8" i="4" s="1"/>
  <c r="G48" i="8" s="1"/>
  <c r="L8" i="4"/>
  <c r="N8" i="4" s="1"/>
  <c r="H48" i="8" s="1"/>
  <c r="L40" i="3"/>
  <c r="N40" i="3" s="1"/>
  <c r="H40" i="8" s="1"/>
  <c r="AA28" i="3"/>
  <c r="AD28" i="3" s="1"/>
  <c r="K40" i="3" s="1"/>
  <c r="M40" i="3" s="1"/>
  <c r="G40" i="8" s="1"/>
  <c r="AA27" i="3"/>
  <c r="AD27" i="3" s="1"/>
  <c r="K34" i="3" s="1"/>
  <c r="M34" i="3" s="1"/>
  <c r="G34" i="8" s="1"/>
  <c r="L34" i="3"/>
  <c r="N34" i="3" s="1"/>
  <c r="H34" i="8" s="1"/>
  <c r="AA26" i="3"/>
  <c r="AD26" i="3" s="1"/>
  <c r="K33" i="3" s="1"/>
  <c r="M33" i="3" s="1"/>
  <c r="G33" i="8" s="1"/>
  <c r="L33" i="3"/>
  <c r="N33" i="3" s="1"/>
  <c r="H33" i="8" s="1"/>
  <c r="AA25" i="3"/>
  <c r="AD25" i="3" s="1"/>
  <c r="K32" i="3" s="1"/>
  <c r="M32" i="3" s="1"/>
  <c r="G32" i="8" s="1"/>
  <c r="L32" i="3"/>
  <c r="N32" i="3" s="1"/>
  <c r="H32" i="8" s="1"/>
  <c r="L31" i="3"/>
  <c r="N31" i="3" s="1"/>
  <c r="H31" i="8" s="1"/>
  <c r="AA24" i="3"/>
  <c r="AD24" i="3" s="1"/>
  <c r="K31" i="3" s="1"/>
  <c r="M31" i="3" s="1"/>
  <c r="G31" i="8" s="1"/>
  <c r="L30" i="3"/>
  <c r="N30" i="3" s="1"/>
  <c r="H30" i="8" s="1"/>
  <c r="AA23" i="3"/>
  <c r="AD23" i="3" s="1"/>
  <c r="K30" i="3" s="1"/>
  <c r="M30" i="3" s="1"/>
  <c r="G30" i="8" s="1"/>
  <c r="L29" i="3"/>
  <c r="N29" i="3" s="1"/>
  <c r="H29" i="8" s="1"/>
  <c r="AA22" i="3"/>
  <c r="AD22" i="3" s="1"/>
  <c r="K29" i="3" s="1"/>
  <c r="M29" i="3" s="1"/>
  <c r="G29" i="8" s="1"/>
  <c r="AA21" i="3"/>
  <c r="AD21" i="3" s="1"/>
  <c r="K28" i="3" s="1"/>
  <c r="M28" i="3" s="1"/>
  <c r="G28" i="8" s="1"/>
  <c r="L28" i="3"/>
  <c r="N28" i="3" s="1"/>
  <c r="H28" i="8" s="1"/>
  <c r="AA20" i="3"/>
  <c r="AD20" i="3" s="1"/>
  <c r="K27" i="3" s="1"/>
  <c r="M27" i="3" s="1"/>
  <c r="G27" i="8" s="1"/>
  <c r="L27" i="3"/>
  <c r="N27" i="3" s="1"/>
  <c r="H27" i="8" s="1"/>
  <c r="AA19" i="3"/>
  <c r="AD19" i="3" s="1"/>
  <c r="K26" i="3" s="1"/>
  <c r="M26" i="3" s="1"/>
  <c r="G26" i="8" s="1"/>
  <c r="L26" i="3"/>
  <c r="N26" i="3" s="1"/>
  <c r="H26" i="8" s="1"/>
  <c r="AA18" i="3"/>
  <c r="AD18" i="3" s="1"/>
  <c r="K24" i="3" s="1"/>
  <c r="M24" i="3" s="1"/>
  <c r="G24" i="8" s="1"/>
  <c r="L24" i="3"/>
  <c r="N24" i="3" s="1"/>
  <c r="H24" i="8" s="1"/>
  <c r="L23" i="3"/>
  <c r="N23" i="3" s="1"/>
  <c r="H23" i="8" s="1"/>
  <c r="AA17" i="3"/>
  <c r="AD17" i="3" s="1"/>
  <c r="K23" i="3" s="1"/>
  <c r="M23" i="3" s="1"/>
  <c r="G23" i="8" s="1"/>
  <c r="AA16" i="3"/>
  <c r="AD16" i="3" s="1"/>
  <c r="K21" i="3" s="1"/>
  <c r="M21" i="3" s="1"/>
  <c r="G21" i="8" s="1"/>
  <c r="L21" i="3"/>
  <c r="N21" i="3" s="1"/>
  <c r="H21" i="8" s="1"/>
  <c r="L18" i="3"/>
  <c r="N18" i="3" s="1"/>
  <c r="H18" i="8" s="1"/>
  <c r="AA15" i="3"/>
  <c r="AD15" i="3" s="1"/>
  <c r="K18" i="3" s="1"/>
  <c r="M18" i="3" s="1"/>
  <c r="G18" i="8" s="1"/>
  <c r="L15" i="3"/>
  <c r="N15" i="3" s="1"/>
  <c r="H15" i="8" s="1"/>
  <c r="AA13" i="3"/>
  <c r="AD13" i="3" s="1"/>
  <c r="K15" i="3" s="1"/>
  <c r="M15" i="3" s="1"/>
  <c r="G15" i="8" s="1"/>
  <c r="AD121" i="7"/>
  <c r="AD109" i="7"/>
  <c r="AD103" i="7"/>
  <c r="AD102" i="7"/>
  <c r="AD73" i="7"/>
  <c r="AD64" i="7"/>
  <c r="AD55" i="7"/>
  <c r="AD46" i="7"/>
  <c r="AD29" i="7"/>
  <c r="AD71" i="7"/>
  <c r="AD118" i="5"/>
  <c r="AD111" i="5"/>
  <c r="AD53" i="5"/>
  <c r="AD44" i="5"/>
  <c r="AD40" i="5"/>
  <c r="AD35" i="5"/>
  <c r="AD27" i="5"/>
  <c r="AD26" i="5"/>
  <c r="AD10" i="5"/>
  <c r="K11" i="5" s="1"/>
  <c r="M11" i="5" s="1"/>
  <c r="G91" i="8" s="1"/>
  <c r="AD47" i="7"/>
  <c r="AD42" i="7"/>
  <c r="AD35" i="7"/>
  <c r="AD126" i="6"/>
  <c r="AD120" i="6"/>
  <c r="AD16" i="6"/>
  <c r="K17" i="6" s="1"/>
  <c r="M17" i="6" s="1"/>
  <c r="G137" i="8" s="1"/>
  <c r="AD123" i="5"/>
  <c r="AD122" i="5"/>
  <c r="AD119" i="5"/>
  <c r="AD61" i="4"/>
  <c r="AD49" i="7"/>
  <c r="AD36" i="7"/>
  <c r="AD31" i="7"/>
  <c r="AD48" i="5"/>
  <c r="AD90" i="4"/>
  <c r="AD76" i="4"/>
  <c r="AD72" i="4"/>
  <c r="AD44" i="4"/>
  <c r="AD48" i="7"/>
  <c r="AD28" i="7"/>
  <c r="AD96" i="4"/>
  <c r="AD94" i="4"/>
  <c r="AD74" i="4"/>
  <c r="AD65" i="4"/>
  <c r="AD59" i="4"/>
  <c r="AD58" i="4"/>
  <c r="AD57" i="4"/>
  <c r="AD38" i="4"/>
  <c r="AD111" i="7"/>
  <c r="AD105" i="7"/>
  <c r="AD101" i="7"/>
  <c r="AD88" i="7"/>
  <c r="AD43" i="7"/>
  <c r="AD37" i="7"/>
  <c r="AD24" i="7"/>
  <c r="AD78" i="3"/>
  <c r="AD100" i="7"/>
  <c r="AD96" i="7"/>
  <c r="AD89" i="7"/>
  <c r="AD86" i="7"/>
  <c r="AD85" i="7"/>
  <c r="AD84" i="7"/>
  <c r="AD69" i="7"/>
  <c r="AD53" i="7"/>
  <c r="AD41" i="7"/>
  <c r="AD27" i="7"/>
  <c r="AD25" i="7"/>
  <c r="AD124" i="6"/>
</calcChain>
</file>

<file path=xl/sharedStrings.xml><?xml version="1.0" encoding="utf-8"?>
<sst xmlns="http://schemas.openxmlformats.org/spreadsheetml/2006/main" count="2266" uniqueCount="502">
  <si>
    <t>AVAB – masterkalkyl för budgetkalkylator</t>
  </si>
  <si>
    <t>Syfte</t>
  </si>
  <si>
    <t>Excel-filen är intern master för kalkylatorn. Varje område har en egen flik. Sporthall använder startvärdena från den uppladdade HTML-kalkylatorn. Simhall, Konferens, Restaurang och Gym är nu förifyllda med tydligt märkta TESTSTARTVÄRDEN så att hela flödet kan provas innan ni ersätter dem med skarpa kalkyler.</t>
  </si>
  <si>
    <t>Arbetsflöde</t>
  </si>
  <si>
    <t>Vad ni gör</t>
  </si>
  <si>
    <t>1. Fyll delar</t>
  </si>
  <si>
    <t>Lägg interna komponenter, mängder, inköpspris och arbetstid i områdets komponenttabell.</t>
  </si>
  <si>
    <t>2. Koppla Paket-ID</t>
  </si>
  <si>
    <t>Varje intern del kopplas till ett Paket-ID, t.ex. basePackage:dsp.</t>
  </si>
  <si>
    <t>3. Kontrollera kalkylpris</t>
  </si>
  <si>
    <t>Excel summerar internt kalkylpris och timmar per Paket-ID.</t>
  </si>
  <si>
    <t>4. Godkänn för webb</t>
  </si>
  <si>
    <t>Sätt "Använd intern kalkyl?" = Ja först när paketet är komplett och kontrollerat.</t>
  </si>
  <si>
    <t>5. Exportera</t>
  </si>
  <si>
    <t>Bladet Webbexport innehåller endast webbens summerade data och kan senare skrivas till JSON av ett script.</t>
  </si>
  <si>
    <t>Områdesflik</t>
  </si>
  <si>
    <t>Status</t>
  </si>
  <si>
    <t>Kommentar</t>
  </si>
  <si>
    <t>Sporthall</t>
  </si>
  <si>
    <t>Aktiv/Testklar</t>
  </si>
  <si>
    <t>HTML-värden bevarade. Interna startdelar reproducerar startpriserna.</t>
  </si>
  <si>
    <t>Simhall</t>
  </si>
  <si>
    <t>Testklar</t>
  </si>
  <si>
    <t>TESTSTARTVÄRDEN inlagda – byt innan skarp publicering.</t>
  </si>
  <si>
    <t>Konferens</t>
  </si>
  <si>
    <t>Restaurang</t>
  </si>
  <si>
    <t>Gym</t>
  </si>
  <si>
    <t>Globala inställningar</t>
  </si>
  <si>
    <t>Parameter</t>
  </si>
  <si>
    <t>Värde</t>
  </si>
  <si>
    <t>Enhet</t>
  </si>
  <si>
    <t>Standard timpris</t>
  </si>
  <si>
    <t>kr/h</t>
  </si>
  <si>
    <t>Fylls av AVAB. Används som standard i komponentrader.</t>
  </si>
  <si>
    <t>Standard påslag</t>
  </si>
  <si>
    <t>%</t>
  </si>
  <si>
    <t>Fylls av AVAB. Kan överstyras per komponentrad.</t>
  </si>
  <si>
    <t>Moms</t>
  </si>
  <si>
    <t>Webbkalkylatorn visar budget exklusive moms.</t>
  </si>
  <si>
    <t>Version</t>
  </si>
  <si>
    <t>2026-08-13</t>
  </si>
  <si>
    <t>Första masterfilen baserad på uppladdad HTML-kalkylator.</t>
  </si>
  <si>
    <t>Valuta</t>
  </si>
  <si>
    <t>SEK</t>
  </si>
  <si>
    <t>Exportpriser anges i SEK.</t>
  </si>
  <si>
    <t>Teststartvärden</t>
  </si>
  <si>
    <t>Ja</t>
  </si>
  <si>
    <t>Övriga områden innehåller testvärden för att kalkylflödet ska kunna provas. Byt innan skarp publicering.</t>
  </si>
  <si>
    <t>Princip</t>
  </si>
  <si>
    <t>Sporthall från HTML</t>
  </si>
  <si>
    <t>Sporthallens publicerade startvärden är hämtade från den uppladdade kalkylatorsidan; interna delrader är startfördelningar som reproducerar dessa totalsummor.</t>
  </si>
  <si>
    <t>Sporthall – kalkylmaster</t>
  </si>
  <si>
    <t>Aktiv/Testklar – startvärdena kommer från den uppladdade HTML-kalkylatorn. Interna startdelar är generiska testfördelningar som reproducerar respektive webbpris. Byt dem mot verkliga komponenter när ni är redo.</t>
  </si>
  <si>
    <t>Publicera</t>
  </si>
  <si>
    <t>Grupp</t>
  </si>
  <si>
    <t>Nyckel</t>
  </si>
  <si>
    <t>Paket-ID</t>
  </si>
  <si>
    <t>Visningsnamn</t>
  </si>
  <si>
    <t>Typ</t>
  </si>
  <si>
    <t>Nuvarande webbpris</t>
  </si>
  <si>
    <t>Nuvarande timmar</t>
  </si>
  <si>
    <t>Offert?</t>
  </si>
  <si>
    <t>Använd intern kalkyl?</t>
  </si>
  <si>
    <t>Internt kalkylpris</t>
  </si>
  <si>
    <t>Interna timmar</t>
  </si>
  <si>
    <t>Exportpris</t>
  </si>
  <si>
    <t>Exporttimmar</t>
  </si>
  <si>
    <t>Notering</t>
  </si>
  <si>
    <t>Del-ID</t>
  </si>
  <si>
    <t>Benämning</t>
  </si>
  <si>
    <t>Antal</t>
  </si>
  <si>
    <t>Inköpspris/st</t>
  </si>
  <si>
    <t>Material</t>
  </si>
  <si>
    <t>Arbete h/st</t>
  </si>
  <si>
    <t>Timmar</t>
  </si>
  <si>
    <t>Timpris</t>
  </si>
  <si>
    <t>Arbete</t>
  </si>
  <si>
    <t>Övrigt</t>
  </si>
  <si>
    <t>Påslag %</t>
  </si>
  <si>
    <t>Budgetpris</t>
  </si>
  <si>
    <t>hallType</t>
  </si>
  <si>
    <t>simple</t>
  </si>
  <si>
    <t>hallType:simple</t>
  </si>
  <si>
    <t>Halltyp och grundlogik</t>
  </si>
  <si>
    <t>Fast</t>
  </si>
  <si>
    <t>Nej</t>
  </si>
  <si>
    <t>Enkel sporthall vald.</t>
  </si>
  <si>
    <t>hallType:dividable</t>
  </si>
  <si>
    <t>START-dividable</t>
  </si>
  <si>
    <t>Startmaterial / ersätt med verklig delkalkyl</t>
  </si>
  <si>
    <t>paket</t>
  </si>
  <si>
    <t>Källa: HTML-startvärde. Generisk startfördelning för test; byt mot verkliga komponenter.</t>
  </si>
  <si>
    <t>dividable</t>
  </si>
  <si>
    <t>Delbar hall med A/B-logik.</t>
  </si>
  <si>
    <t>hallType:stands</t>
  </si>
  <si>
    <t>START-stands</t>
  </si>
  <si>
    <t>stands</t>
  </si>
  <si>
    <t>Hall med läktare och publiklogik.</t>
  </si>
  <si>
    <t>hallType:sti</t>
  </si>
  <si>
    <t>START-sti</t>
  </si>
  <si>
    <t>sti</t>
  </si>
  <si>
    <t>Hall med fördjupad taluppfattbarhet.</t>
  </si>
  <si>
    <t>basePackage:simple</t>
  </si>
  <si>
    <t>START-simple</t>
  </si>
  <si>
    <t>basePackage</t>
  </si>
  <si>
    <t>Basljud sporthall</t>
  </si>
  <si>
    <t>Budgetpost för huvudljud och grundläggande drift.</t>
  </si>
  <si>
    <t>basePackage:dsp</t>
  </si>
  <si>
    <t>START-dsp</t>
  </si>
  <si>
    <t>dsp</t>
  </si>
  <si>
    <t>Budgetpost för huvudljud med DSP och zonlogik.</t>
  </si>
  <si>
    <t>standsSound:eight12</t>
  </si>
  <si>
    <t>START-eight12</t>
  </si>
  <si>
    <t>standsSound</t>
  </si>
  <si>
    <t>none</t>
  </si>
  <si>
    <t>standsSound:none</t>
  </si>
  <si>
    <t>Läktarljud</t>
  </si>
  <si>
    <t>control:knob</t>
  </si>
  <si>
    <t>START-knob</t>
  </si>
  <si>
    <t>eight12</t>
  </si>
  <si>
    <t>Läktarljud för sporthall</t>
  </si>
  <si>
    <t>Budgetpost för separat ljud mot läktare.</t>
  </si>
  <si>
    <t>control:touch</t>
  </si>
  <si>
    <t>START-touch</t>
  </si>
  <si>
    <t>control</t>
  </si>
  <si>
    <t>knob</t>
  </si>
  <si>
    <t>Styrning</t>
  </si>
  <si>
    <t>Vridreglage och enkel användning.</t>
  </si>
  <si>
    <t>loopPlan:standard</t>
  </si>
  <si>
    <t>START-standard</t>
  </si>
  <si>
    <t>touch</t>
  </si>
  <si>
    <t>Touchpanel och tydliga användarlägen.</t>
  </si>
  <si>
    <t>auracast:basic</t>
  </si>
  <si>
    <t>START-basic</t>
  </si>
  <si>
    <t>loopPlan</t>
  </si>
  <si>
    <t>loopPlan:none</t>
  </si>
  <si>
    <t>Hörslinga, Auracast och tillgänglighet</t>
  </si>
  <si>
    <t>sti:050</t>
  </si>
  <si>
    <t>START-050</t>
  </si>
  <si>
    <t>standard</t>
  </si>
  <si>
    <t>Budgetpost för standardplan.</t>
  </si>
  <si>
    <t>sti:060</t>
  </si>
  <si>
    <t>START-060</t>
  </si>
  <si>
    <t>custom</t>
  </si>
  <si>
    <t>loopPlan:custom</t>
  </si>
  <si>
    <t>Offert</t>
  </si>
  <si>
    <t>Annan planstorlek kräver separat offert.</t>
  </si>
  <si>
    <t>unit:handMic</t>
  </si>
  <si>
    <t>START-handMic</t>
  </si>
  <si>
    <t>auracast</t>
  </si>
  <si>
    <t>auracast:none</t>
  </si>
  <si>
    <t>unit:headset</t>
  </si>
  <si>
    <t>START-headset</t>
  </si>
  <si>
    <t>basic</t>
  </si>
  <si>
    <t>Auracast som komplement.</t>
  </si>
  <si>
    <t>unit:bluetooth</t>
  </si>
  <si>
    <t>START-bluetooth</t>
  </si>
  <si>
    <t>sti:none</t>
  </si>
  <si>
    <t>STI och inmätning</t>
  </si>
  <si>
    <t>unit:zoneSmall</t>
  </si>
  <si>
    <t>START-zoneSmall</t>
  </si>
  <si>
    <t>050</t>
  </si>
  <si>
    <t>Budgetpost för STI 0,50.</t>
  </si>
  <si>
    <t>unit:zoneMedium</t>
  </si>
  <si>
    <t>START-zoneMedium</t>
  </si>
  <si>
    <t>060</t>
  </si>
  <si>
    <t>Budgetpost för STI 0,60.</t>
  </si>
  <si>
    <t>unit:zoneLarge</t>
  </si>
  <si>
    <t>START-zoneLarge</t>
  </si>
  <si>
    <t>070</t>
  </si>
  <si>
    <t>sti:070</t>
  </si>
  <si>
    <t>Högre STI-krav behöver separat projektering.</t>
  </si>
  <si>
    <t>stands:small</t>
  </si>
  <si>
    <t>START-small</t>
  </si>
  <si>
    <t>unit</t>
  </si>
  <si>
    <t>handMic</t>
  </si>
  <si>
    <t>Mikrofoner och anslutning</t>
  </si>
  <si>
    <t>Pris per trådlös handmikrofon.</t>
  </si>
  <si>
    <t>stands:medium</t>
  </si>
  <si>
    <t>START-medium</t>
  </si>
  <si>
    <t>headset</t>
  </si>
  <si>
    <t>Pris per trådlöst headset.</t>
  </si>
  <si>
    <t>stands:large</t>
  </si>
  <si>
    <t>START-large</t>
  </si>
  <si>
    <t>bluetooth</t>
  </si>
  <si>
    <t>Pris per Bluetooth-mottagare.</t>
  </si>
  <si>
    <t>checks:documentation</t>
  </si>
  <si>
    <t>START-documentation</t>
  </si>
  <si>
    <t>zoneSmall</t>
  </si>
  <si>
    <t>Extra ljudzoner</t>
  </si>
  <si>
    <t>Zon 20–50 m².</t>
  </si>
  <si>
    <t>zoneMedium</t>
  </si>
  <si>
    <t>Zon 50–100 m².</t>
  </si>
  <si>
    <t>zoneLarge</t>
  </si>
  <si>
    <t>Zon 100–200 m².</t>
  </si>
  <si>
    <t>small</t>
  </si>
  <si>
    <t>Läktare grundpaket</t>
  </si>
  <si>
    <t>Läktare 8–20 m², före tillgänglighetsmultiplikator.</t>
  </si>
  <si>
    <t>medium</t>
  </si>
  <si>
    <t>Läktare 20–40 m², före tillgänglighetsmultiplikator.</t>
  </si>
  <si>
    <t>large</t>
  </si>
  <si>
    <t>Läktare 40–80 m², före tillgänglighetsmultiplikator.</t>
  </si>
  <si>
    <t>quote</t>
  </si>
  <si>
    <t>stands:quote</t>
  </si>
  <si>
    <t>Större än 80 m² kräver offert.</t>
  </si>
  <si>
    <t>checks</t>
  </si>
  <si>
    <t>ab04</t>
  </si>
  <si>
    <t>checks:ab04</t>
  </si>
  <si>
    <t>Entreprenad, dokumentation och krav</t>
  </si>
  <si>
    <t>Regel</t>
  </si>
  <si>
    <t>AB 04 markerat.</t>
  </si>
  <si>
    <t>abt06</t>
  </si>
  <si>
    <t>checks:abt06</t>
  </si>
  <si>
    <t>ABT 06 markerat.</t>
  </si>
  <si>
    <t>avabInstall</t>
  </si>
  <si>
    <t>checks:avabInstall</t>
  </si>
  <si>
    <t>AVAB installerar allt.</t>
  </si>
  <si>
    <t>electricianInstall</t>
  </si>
  <si>
    <t>checks:electricianInstall</t>
  </si>
  <si>
    <t>Elektriker installerar efter AVAB:s ritning.</t>
  </si>
  <si>
    <t>documentation</t>
  </si>
  <si>
    <t>Relationshandling och dokumentation.</t>
  </si>
  <si>
    <t>fireAlarm</t>
  </si>
  <si>
    <t>checks:fireAlarm</t>
  </si>
  <si>
    <t>Brandlarm tystar ljudanläggningen.</t>
  </si>
  <si>
    <t>quoteSystems</t>
  </si>
  <si>
    <t>checks:quoteSystems</t>
  </si>
  <si>
    <t>Rastsignal eller talat utrymningslarm kräver separat offert.</t>
  </si>
  <si>
    <t>warranty5</t>
  </si>
  <si>
    <t>checks:warranty5</t>
  </si>
  <si>
    <t>Garanti och materialhantering</t>
  </si>
  <si>
    <t>Procent</t>
  </si>
  <si>
    <t>5 års garantitid. 10 % påslag på subtotal i nuvarande HTML-logik.</t>
  </si>
  <si>
    <t>Sporthall – regler och beräkningslogik från nuvarande HTML</t>
  </si>
  <si>
    <t>Läktartillgänglighet</t>
  </si>
  <si>
    <t>Prismultiplikator</t>
  </si>
  <si>
    <t>Extra pris</t>
  </si>
  <si>
    <t>Timmultiplikator</t>
  </si>
  <si>
    <t>Förberedelse utan separat tillgänglighetslösning.</t>
  </si>
  <si>
    <t>loop</t>
  </si>
  <si>
    <t>Hörslinga för läktare.</t>
  </si>
  <si>
    <t>Auracast för läktare.</t>
  </si>
  <si>
    <t>both</t>
  </si>
  <si>
    <t>Hörslinga och Auracast för läktare.</t>
  </si>
  <si>
    <t>LED-pitch</t>
  </si>
  <si>
    <t>Pris/m²</t>
  </si>
  <si>
    <t>Startkostnad</t>
  </si>
  <si>
    <t>Ingen LED-vägg.</t>
  </si>
  <si>
    <t>p25</t>
  </si>
  <si>
    <t>P2.5</t>
  </si>
  <si>
    <t>p39</t>
  </si>
  <si>
    <t>P3.9</t>
  </si>
  <si>
    <t>p49</t>
  </si>
  <si>
    <t>P4.9</t>
  </si>
  <si>
    <t>Special/offert.</t>
  </si>
  <si>
    <t>5 års garantitid</t>
  </si>
  <si>
    <t>10 % på subtotal enligt nuvarande HTML-logik.</t>
  </si>
  <si>
    <t>Standardplan hörslinga</t>
  </si>
  <si>
    <t>ca 44 x 23 m</t>
  </si>
  <si>
    <t>Referens</t>
  </si>
  <si>
    <t>Planstorleken anges uttryckligen i nuvarande kalkylator.</t>
  </si>
  <si>
    <t>Halltyp</t>
  </si>
  <si>
    <t>Basljud</t>
  </si>
  <si>
    <t>Handmik</t>
  </si>
  <si>
    <t>Bluetooth</t>
  </si>
  <si>
    <t>STI</t>
  </si>
  <si>
    <t>Default i JavaScript.</t>
  </si>
  <si>
    <t>Minst 1 läktare initieras.</t>
  </si>
  <si>
    <t>STI 0,60 väljs som default.</t>
  </si>
  <si>
    <t>Valgrupp</t>
  </si>
  <si>
    <t>Alternativ 1</t>
  </si>
  <si>
    <t>Alternativ 2</t>
  </si>
  <si>
    <t>Rekommenderad webblogik</t>
  </si>
  <si>
    <t>Entreprenadform</t>
  </si>
  <si>
    <t>AB 04</t>
  </si>
  <si>
    <t>ABT 06</t>
  </si>
  <si>
    <t>Ömsesidigt uteslutande val.</t>
  </si>
  <si>
    <t>Installation</t>
  </si>
  <si>
    <t>AVAB installerar allt</t>
  </si>
  <si>
    <t>Elektriker installerar</t>
  </si>
  <si>
    <t>Simhall – kalkylmaster</t>
  </si>
  <si>
    <t>TESTSTART – värden är inlagda för provkörning och är inte skarpa offerter. Byt dem innan publicering. Vänster: webbpaket. Höger: interna startdelar.</t>
  </si>
  <si>
    <t>facilityType</t>
  </si>
  <si>
    <t>facilityType:standard</t>
  </si>
  <si>
    <t>Simhall – grundlogik</t>
  </si>
  <si>
    <t>Standard simhall. TESTSTARTVÄRDE.</t>
  </si>
  <si>
    <t>facilityType:multi</t>
  </si>
  <si>
    <t>START-multi</t>
  </si>
  <si>
    <t>TESTSTARTVÄRDE. Generisk startfördelning för test; byt mot verkliga komponenter.</t>
  </si>
  <si>
    <t>multi</t>
  </si>
  <si>
    <t>Flera bassänger/zoner. TESTSTARTVÄRDE – byt innan publicering.</t>
  </si>
  <si>
    <t>basePackage:standard</t>
  </si>
  <si>
    <t>Basljud simhall</t>
  </si>
  <si>
    <t>Grundpaket för simhallsmiljö. TESTSTARTVÄRDE.</t>
  </si>
  <si>
    <t>Basljud simhall med DSP</t>
  </si>
  <si>
    <t>Fler zoner och styrlogik. TESTSTARTVÄRDE.</t>
  </si>
  <si>
    <t>Enkel styrning. TESTSTARTVÄRDE.</t>
  </si>
  <si>
    <t>Touchstyrning och zonlägen. TESTSTARTVÄRDE.</t>
  </si>
  <si>
    <t>accessibility:loopStandard</t>
  </si>
  <si>
    <t>START-loopStandard</t>
  </si>
  <si>
    <t>accessibility</t>
  </si>
  <si>
    <t>loopStandard</t>
  </si>
  <si>
    <t>Hörslinga simhall</t>
  </si>
  <si>
    <t>Standardiserat testvärde för tillgänglighet.</t>
  </si>
  <si>
    <t>accessibility:auracast</t>
  </si>
  <si>
    <t>START-auracast</t>
  </si>
  <si>
    <t>Auracast</t>
  </si>
  <si>
    <t>Kompletterande ljuddistribution. TESTSTARTVÄRDE.</t>
  </si>
  <si>
    <t>STI 0,50. TESTSTARTVÄRDE.</t>
  </si>
  <si>
    <t>STI 0,60. TESTSTARTVÄRDE.</t>
  </si>
  <si>
    <t>Trådlös handmikrofon. TESTSTARTVÄRDE.</t>
  </si>
  <si>
    <t>Trådlöst headset. TESTSTARTVÄRDE.</t>
  </si>
  <si>
    <t>Bluetooth-mottagare. TESTSTARTVÄRDE.</t>
  </si>
  <si>
    <t>Zon 20–50 m². TESTSTARTVÄRDE.</t>
  </si>
  <si>
    <t>Zon 50–100 m². TESTSTARTVÄRDE.</t>
  </si>
  <si>
    <t>Zon 100–200 m². TESTSTARTVÄRDE.</t>
  </si>
  <si>
    <t>display:infoScreen</t>
  </si>
  <si>
    <t>START-infoScreen</t>
  </si>
  <si>
    <t>display</t>
  </si>
  <si>
    <t>infoScreen</t>
  </si>
  <si>
    <t>Informationsskärm</t>
  </si>
  <si>
    <t>Skärm och grundinstallation. TESTSTARTVÄRDE.</t>
  </si>
  <si>
    <t>display:projector</t>
  </si>
  <si>
    <t>START-projector</t>
  </si>
  <si>
    <t>projector</t>
  </si>
  <si>
    <t>Projektor/bild i multihall</t>
  </si>
  <si>
    <t>Projektor/bildlösning. TESTSTARTVÄRDE.</t>
  </si>
  <si>
    <t>Relationshandling och dokumentation</t>
  </si>
  <si>
    <t>TESTSTARTVÄRDE.</t>
  </si>
  <si>
    <t>Brandlarm tystar ljud</t>
  </si>
  <si>
    <t>Funktionsregel – inget separat startpris.</t>
  </si>
  <si>
    <t>Talat utrymningslarm</t>
  </si>
  <si>
    <t>Separat projektering/offert.</t>
  </si>
  <si>
    <t>10 % på subtotal som testregel.</t>
  </si>
  <si>
    <t>Konferens – kalkylmaster</t>
  </si>
  <si>
    <t>roomType</t>
  </si>
  <si>
    <t>roomType:small</t>
  </si>
  <si>
    <t>Rumstyp och grundlogik</t>
  </si>
  <si>
    <t>Mindre mötesrum. TESTSTARTVÄRDE.</t>
  </si>
  <si>
    <t>roomType:medium</t>
  </si>
  <si>
    <t>Mellanstort konferensrum. TESTSTARTVÄRDE.</t>
  </si>
  <si>
    <t>roomType:large</t>
  </si>
  <si>
    <t>Större konferensrum. TESTSTARTVÄRDE.</t>
  </si>
  <si>
    <t>basePackage:byod</t>
  </si>
  <si>
    <t>START-byod</t>
  </si>
  <si>
    <t>byod</t>
  </si>
  <si>
    <t>Konferenspaket BYOD</t>
  </si>
  <si>
    <t>BYOD, bild, ljud och anslutning. TESTSTARTVÄRDE.</t>
  </si>
  <si>
    <t>basePackage:teams</t>
  </si>
  <si>
    <t>START-teams</t>
  </si>
  <si>
    <t>teams</t>
  </si>
  <si>
    <t>Teams Room-konferenspaket</t>
  </si>
  <si>
    <t>Teams Room-startpaket. TESTSTARTVÄRDE.</t>
  </si>
  <si>
    <t>display:single</t>
  </si>
  <si>
    <t>START-single</t>
  </si>
  <si>
    <t>single</t>
  </si>
  <si>
    <t>Bildvisning</t>
  </si>
  <si>
    <t>En skärm/projektor. TESTSTARTVÄRDE.</t>
  </si>
  <si>
    <t>display:dual</t>
  </si>
  <si>
    <t>START-dual</t>
  </si>
  <si>
    <t>dual</t>
  </si>
  <si>
    <t>Dubbla bildytor. TESTSTARTVÄRDE.</t>
  </si>
  <si>
    <t>audio:ceiling</t>
  </si>
  <si>
    <t>START-ceiling</t>
  </si>
  <si>
    <t>audio</t>
  </si>
  <si>
    <t>ceiling</t>
  </si>
  <si>
    <t>Konferensljud</t>
  </si>
  <si>
    <t>Grundläggande tak-/rumsljud. TESTSTARTVÄRDE.</t>
  </si>
  <si>
    <t>audio:premium</t>
  </si>
  <si>
    <t>START-premium</t>
  </si>
  <si>
    <t>premium</t>
  </si>
  <si>
    <t>Utökad ljudbehandling/AEC. TESTSTARTVÄRDE.</t>
  </si>
  <si>
    <t>control:simple</t>
  </si>
  <si>
    <t>Touchstyrning. TESTSTARTVÄRDE.</t>
  </si>
  <si>
    <t>camera:standard</t>
  </si>
  <si>
    <t>camera</t>
  </si>
  <si>
    <t>Konferenskamera</t>
  </si>
  <si>
    <t>Standardkamera. TESTSTARTVÄRDE.</t>
  </si>
  <si>
    <t>camera:tracking</t>
  </si>
  <si>
    <t>START-tracking</t>
  </si>
  <si>
    <t>tracking</t>
  </si>
  <si>
    <t>Kamera med utökad funktion. TESTSTARTVÄRDE.</t>
  </si>
  <si>
    <t>unit:wirelessMic</t>
  </si>
  <si>
    <t>START-wirelessMic</t>
  </si>
  <si>
    <t>wirelessMic</t>
  </si>
  <si>
    <t>Mikrofoner</t>
  </si>
  <si>
    <t>Trådlös mikrofon. TESTSTARTVÄRDE.</t>
  </si>
  <si>
    <t>unit:ceilingMic</t>
  </si>
  <si>
    <t>START-ceilingMic</t>
  </si>
  <si>
    <t>ceilingMic</t>
  </si>
  <si>
    <t>Takmikrofon. TESTSTARTVÄRDE.</t>
  </si>
  <si>
    <t>accessibility:loop</t>
  </si>
  <si>
    <t>START-loop</t>
  </si>
  <si>
    <t>Hörslinga konferensrum</t>
  </si>
  <si>
    <t>Auracast konferensrum</t>
  </si>
  <si>
    <t>Restaurang – kalkylmaster</t>
  </si>
  <si>
    <t>venueType</t>
  </si>
  <si>
    <t>venueType:small</t>
  </si>
  <si>
    <t>Lokaltyp och grundlogik</t>
  </si>
  <si>
    <t>Mindre restaurang. TESTSTARTVÄRDE.</t>
  </si>
  <si>
    <t>venueType:medium</t>
  </si>
  <si>
    <t>Mellanstor restaurang. TESTSTARTVÄRDE.</t>
  </si>
  <si>
    <t>venueType:large</t>
  </si>
  <si>
    <t>Större restaurang/flera ytor. TESTSTARTVÄRDE.</t>
  </si>
  <si>
    <t>basePackage:background</t>
  </si>
  <si>
    <t>START-background</t>
  </si>
  <si>
    <t>background</t>
  </si>
  <si>
    <t>Bakgrundsljud</t>
  </si>
  <si>
    <t>Grundpaket bakgrundsljud. TESTSTARTVÄRDE.</t>
  </si>
  <si>
    <t>basePackage:multizone</t>
  </si>
  <si>
    <t>START-multizone</t>
  </si>
  <si>
    <t>multizone</t>
  </si>
  <si>
    <t>Zonstyrt restaurangljud</t>
  </si>
  <si>
    <t>Flera ljudzoner. TESTSTARTVÄRDE.</t>
  </si>
  <si>
    <t>basePackage:event</t>
  </si>
  <si>
    <t>START-event</t>
  </si>
  <si>
    <t>event</t>
  </si>
  <si>
    <t>Restaurang + event/fest</t>
  </si>
  <si>
    <t>Utökad ljudnivå och eventfunktion. TESTSTARTVÄRDE.</t>
  </si>
  <si>
    <t>Vridreglage. TESTSTARTVÄRDE.</t>
  </si>
  <si>
    <t>Touch-/appstyrning. TESTSTARTVÄRDE.</t>
  </si>
  <si>
    <t>unit:outdoorZone</t>
  </si>
  <si>
    <t>START-outdoorZone</t>
  </si>
  <si>
    <t>outdoorZone</t>
  </si>
  <si>
    <t>Uteservering/utomhuszon</t>
  </si>
  <si>
    <t>Musikanslutning</t>
  </si>
  <si>
    <t>display:signage</t>
  </si>
  <si>
    <t>START-signage</t>
  </si>
  <si>
    <t>signage</t>
  </si>
  <si>
    <t>Digital signage/skärm</t>
  </si>
  <si>
    <t>Grundpaket skärm/signage. TESTSTARTVÄRDE.</t>
  </si>
  <si>
    <t>event:djInput</t>
  </si>
  <si>
    <t>START-djInput</t>
  </si>
  <si>
    <t>djInput</t>
  </si>
  <si>
    <t>DJ-/eventanslutning</t>
  </si>
  <si>
    <t>Inkopplingspunkt och signalväg. TESTSTARTVÄRDE.</t>
  </si>
  <si>
    <t>Gym – kalkylmaster</t>
  </si>
  <si>
    <t>facilityType:small</t>
  </si>
  <si>
    <t>Gymtyp och grundlogik</t>
  </si>
  <si>
    <t>Mindre gym. TESTSTARTVÄRDE.</t>
  </si>
  <si>
    <t>facilityType:medium</t>
  </si>
  <si>
    <t>Mellanstort gym. TESTSTARTVÄRDE.</t>
  </si>
  <si>
    <t>facilityType:large</t>
  </si>
  <si>
    <t>Större gym/flera träningsytor. TESTSTARTVÄRDE.</t>
  </si>
  <si>
    <t>basePackage:gym</t>
  </si>
  <si>
    <t>START-gym</t>
  </si>
  <si>
    <t>gym</t>
  </si>
  <si>
    <t>Zonstyrt gym-ljud</t>
  </si>
  <si>
    <t>Grundpaket gym. TESTSTARTVÄRDE.</t>
  </si>
  <si>
    <t>Flera träningsytor och zoner. TESTSTARTVÄRDE.</t>
  </si>
  <si>
    <t>groupTraining:standard</t>
  </si>
  <si>
    <t>groupTraining</t>
  </si>
  <si>
    <t>Gruppträningssal</t>
  </si>
  <si>
    <t>Ljud och instruktörsanslutning. TESTSTARTVÄRDE.</t>
  </si>
  <si>
    <t>groupTraining:premium</t>
  </si>
  <si>
    <t>Utökad gruppträningslösning. TESTSTARTVÄRDE.</t>
  </si>
  <si>
    <t>Enkel zonstyrning. TESTSTARTVÄRDE.</t>
  </si>
  <si>
    <t>Trådlösa headset</t>
  </si>
  <si>
    <t>Per headset. TESTSTARTVÄRDE.</t>
  </si>
  <si>
    <t>Skärm/information. TESTSTARTVÄRDE.</t>
  </si>
  <si>
    <t>announcement:basic</t>
  </si>
  <si>
    <t>announcement</t>
  </si>
  <si>
    <t>Utrop</t>
  </si>
  <si>
    <t>Grundläggande utropsfunktion. TESTSTARTVÄRDE.</t>
  </si>
  <si>
    <t>Webbexport – summerade värden för framtida JSON-export</t>
  </si>
  <si>
    <t>Detta blad kan läsas av ett framtida exportscript. Sporthall bygger på HTML-startvärden. Övriga områden innehåller TESTSTARTVÄRDEN för provkörning och måste granskas innan skarp publicering. Interna komponenter, inköpspriser och marginaler exporteras inte.</t>
  </si>
  <si>
    <t>Område</t>
  </si>
  <si>
    <t>Pris</t>
  </si>
  <si>
    <t>standAccess</t>
  </si>
  <si>
    <t>standAccess:none</t>
  </si>
  <si>
    <t>Multiplikator</t>
  </si>
  <si>
    <t>Förberedelse utan separat tillgänglighetslösning. Extra 0 kr.</t>
  </si>
  <si>
    <t>standAccess:loop</t>
  </si>
  <si>
    <t>Hörslinga för läktare. Extra 0 kr.</t>
  </si>
  <si>
    <t>standAccess:auracast</t>
  </si>
  <si>
    <t>Auracast för läktare. Extra 12000 kr.</t>
  </si>
  <si>
    <t>standAccess:both</t>
  </si>
  <si>
    <t>Hörslinga och Auracast för läktare. Extra 16000 kr.</t>
  </si>
  <si>
    <t>ledPitch</t>
  </si>
  <si>
    <t>ledPitch:none</t>
  </si>
  <si>
    <t>LED-vägg</t>
  </si>
  <si>
    <t>Kvadratmeter</t>
  </si>
  <si>
    <t>Startpris 0 kr.</t>
  </si>
  <si>
    <t>ledPitch:p25</t>
  </si>
  <si>
    <t>LED-vägg P2.5</t>
  </si>
  <si>
    <t>Startpris 28000 kr.</t>
  </si>
  <si>
    <t>ledPitch:p39</t>
  </si>
  <si>
    <t>LED-vägg P3.9</t>
  </si>
  <si>
    <t>Startpris 26000 kr.</t>
  </si>
  <si>
    <t>ledPitch:p49</t>
  </si>
  <si>
    <t>LED-vägg P4.9</t>
  </si>
  <si>
    <t>Startpris 24000 kr.</t>
  </si>
  <si>
    <t>ledPitch:quote</t>
  </si>
  <si>
    <t>LED-vägg special</t>
  </si>
  <si>
    <t>Speciallösning kräver offert.</t>
  </si>
  <si>
    <t>accessibility:none</t>
  </si>
  <si>
    <t>Tillgänglighet</t>
  </si>
  <si>
    <t>Inte vald. TESTSTARTVÄRDE.</t>
  </si>
  <si>
    <t>display:none</t>
  </si>
  <si>
    <t>event:none</t>
  </si>
  <si>
    <t>groupTraining:none</t>
  </si>
  <si>
    <t>announcement:none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</si>
</sst>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kr&quot;"/>
    <numFmt numFmtId="165" formatCode="0.0"/>
    <numFmt numFmtId="166" formatCode="#,##0\ &quot;kr/h&quot;"/>
    <numFmt numFmtId="167" formatCode="#,##0.00\ &quot;kr&quot;"/>
  </numFmts>
  <fonts count="5">
    <font>
      <sz val="11"/>
      <name val="Carlito"/>
    </font>
    <font>
      <b/>
      <sz val="18"/>
      <color rgb="FFFFFFFF"/>
      <name val="Carlito"/>
    </font>
    <font>
      <b/>
      <sz val="11"/>
      <color rgb="FF282E29"/>
      <name val="Carlito"/>
    </font>
    <font>
      <sz val="11"/>
      <color rgb="FF3A433D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282E29"/>
      </patternFill>
    </fill>
    <fill>
      <patternFill patternType="solid">
        <fgColor rgb="FF8FC025"/>
      </patternFill>
    </fill>
    <fill>
      <patternFill patternType="solid">
        <fgColor rgb="FFF4F5F4"/>
      </patternFill>
    </fill>
    <fill>
      <patternFill patternType="solid">
        <fgColor rgb="FFFFF4CC"/>
      </patternFill>
    </fill>
    <fill>
      <patternFill patternType="solid">
        <fgColor rgb="FFFFFFFF"/>
      </patternFill>
    </fill>
    <fill>
      <patternFill patternType="solid">
        <fgColor rgb="FFEEF1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164" fontId="0" fillId="5" borderId="0" xfId="0" applyNumberFormat="1" applyFill="1" applyAlignment="1">
      <alignment wrapText="1"/>
    </xf>
    <xf numFmtId="9" fontId="0" fillId="5" borderId="0" xfId="0" applyNumberFormat="1" applyFill="1" applyAlignment="1">
      <alignment wrapText="1"/>
    </xf>
    <xf numFmtId="9" fontId="0" fillId="0" borderId="0" xfId="0" applyNumberFormat="1" applyAlignment="1">
      <alignment wrapText="1"/>
    </xf>
    <xf numFmtId="0" fontId="0" fillId="6" borderId="0" xfId="0" applyFill="1" applyAlignment="1">
      <alignment wrapText="1"/>
    </xf>
    <xf numFmtId="164" fontId="0" fillId="6" borderId="0" xfId="0" applyNumberFormat="1" applyFill="1" applyAlignment="1">
      <alignment wrapText="1"/>
    </xf>
    <xf numFmtId="165" fontId="0" fillId="6" borderId="0" xfId="0" applyNumberFormat="1" applyFill="1" applyAlignment="1">
      <alignment wrapText="1"/>
    </xf>
    <xf numFmtId="164" fontId="0" fillId="7" borderId="0" xfId="0" applyNumberFormat="1" applyFill="1" applyAlignment="1">
      <alignment wrapText="1"/>
    </xf>
    <xf numFmtId="165" fontId="0" fillId="7" borderId="0" xfId="0" applyNumberFormat="1" applyFill="1" applyAlignment="1">
      <alignment wrapText="1"/>
    </xf>
    <xf numFmtId="0" fontId="0" fillId="5" borderId="0" xfId="0" applyFill="1" applyAlignment="1">
      <alignment wrapText="1"/>
    </xf>
    <xf numFmtId="9" fontId="0" fillId="7" borderId="0" xfId="0" applyNumberFormat="1" applyFill="1" applyAlignment="1">
      <alignment wrapText="1"/>
    </xf>
    <xf numFmtId="2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5" borderId="0" xfId="0" applyNumberFormat="1" applyFill="1" applyAlignment="1">
      <alignment wrapText="1"/>
    </xf>
    <xf numFmtId="167" fontId="0" fillId="5" borderId="0" xfId="0" applyNumberForma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5">
    <dxf>
      <font>
        <b/>
        <color rgb="FF282E29"/>
      </font>
      <fill>
        <patternFill>
          <bgColor rgb="FF8FC025"/>
        </patternFill>
      </fill>
    </dxf>
    <dxf>
      <font>
        <b/>
        <color rgb="FF282E29"/>
      </font>
      <fill>
        <patternFill>
          <bgColor rgb="FF8FC025"/>
        </patternFill>
      </fill>
    </dxf>
    <dxf>
      <font>
        <b/>
        <color rgb="FF282E29"/>
      </font>
      <fill>
        <patternFill>
          <bgColor rgb="FF8FC025"/>
        </patternFill>
      </fill>
    </dxf>
    <dxf>
      <font>
        <b/>
        <color rgb="FF282E29"/>
      </font>
      <fill>
        <patternFill>
          <bgColor rgb="FF8FC025"/>
        </patternFill>
      </fill>
    </dxf>
    <dxf>
      <font>
        <b/>
        <color rgb="FF282E29"/>
      </font>
      <fill>
        <patternFill>
          <bgColor rgb="FF8FC02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orthallWebbTable" displayName="SporthallWebbTable" ref="A6:O51" totalsRowShown="0">
  <tableColumns count="15">
    <tableColumn id="1" xr3:uid="{00000000-0010-0000-0000-000001000000}" name="Publicera"/>
    <tableColumn id="2" xr3:uid="{00000000-0010-0000-0000-000002000000}" name="Grupp"/>
    <tableColumn id="3" xr3:uid="{00000000-0010-0000-0000-000003000000}" name="Nyckel"/>
    <tableColumn id="4" xr3:uid="{00000000-0010-0000-0000-000004000000}" name="Paket-ID"/>
    <tableColumn id="5" xr3:uid="{00000000-0010-0000-0000-000005000000}" name="Visningsnamn"/>
    <tableColumn id="6" xr3:uid="{00000000-0010-0000-0000-000006000000}" name="Typ"/>
    <tableColumn id="7" xr3:uid="{00000000-0010-0000-0000-000007000000}" name="Nuvarande webbpris"/>
    <tableColumn id="8" xr3:uid="{00000000-0010-0000-0000-000008000000}" name="Nuvarande timmar"/>
    <tableColumn id="9" xr3:uid="{00000000-0010-0000-0000-000009000000}" name="Offert?"/>
    <tableColumn id="10" xr3:uid="{00000000-0010-0000-0000-00000A000000}" name="Använd intern kalkyl?"/>
    <tableColumn id="11" xr3:uid="{00000000-0010-0000-0000-00000B000000}" name="Internt kalkylpris"/>
    <tableColumn id="12" xr3:uid="{00000000-0010-0000-0000-00000C000000}" name="Interna timmar"/>
    <tableColumn id="13" xr3:uid="{00000000-0010-0000-0000-00000D000000}" name="Exportpris"/>
    <tableColumn id="14" xr3:uid="{00000000-0010-0000-0000-00000E000000}" name="Exporttimmar"/>
    <tableColumn id="15" xr3:uid="{00000000-0010-0000-0000-00000F000000}" name="Noter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porthallDelarTable" displayName="SporthallDelarTable" ref="Q6:AE126" totalsRowShown="0">
  <tableColumns count="15">
    <tableColumn id="1" xr3:uid="{00000000-0010-0000-0100-000001000000}" name="Paket-ID"/>
    <tableColumn id="2" xr3:uid="{00000000-0010-0000-0100-000002000000}" name="Del-ID"/>
    <tableColumn id="3" xr3:uid="{00000000-0010-0000-0100-000003000000}" name="Benämning"/>
    <tableColumn id="4" xr3:uid="{00000000-0010-0000-0100-000004000000}" name="Antal"/>
    <tableColumn id="5" xr3:uid="{00000000-0010-0000-0100-000005000000}" name="Enhet"/>
    <tableColumn id="6" xr3:uid="{00000000-0010-0000-0100-000006000000}" name="Inköpspris/st"/>
    <tableColumn id="7" xr3:uid="{00000000-0010-0000-0100-000007000000}" name="Material"/>
    <tableColumn id="8" xr3:uid="{00000000-0010-0000-0100-000008000000}" name="Arbete h/st"/>
    <tableColumn id="9" xr3:uid="{00000000-0010-0000-0100-000009000000}" name="Timmar"/>
    <tableColumn id="10" xr3:uid="{00000000-0010-0000-0100-00000A000000}" name="Timpris"/>
    <tableColumn id="11" xr3:uid="{00000000-0010-0000-0100-00000B000000}" name="Arbete"/>
    <tableColumn id="12" xr3:uid="{00000000-0010-0000-0100-00000C000000}" name="Övrigt"/>
    <tableColumn id="13" xr3:uid="{00000000-0010-0000-0100-00000D000000}" name="Påslag %"/>
    <tableColumn id="14" xr3:uid="{00000000-0010-0000-0100-00000E000000}" name="Budgetpris"/>
    <tableColumn id="15" xr3:uid="{00000000-0010-0000-0100-00000F000000}" name="Komment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imhallWebbTable" displayName="SimhallWebbTable" ref="A6:O51" totalsRowShown="0">
  <tableColumns count="15">
    <tableColumn id="1" xr3:uid="{00000000-0010-0000-0200-000001000000}" name="Publicera"/>
    <tableColumn id="2" xr3:uid="{00000000-0010-0000-0200-000002000000}" name="Grupp"/>
    <tableColumn id="3" xr3:uid="{00000000-0010-0000-0200-000003000000}" name="Nyckel"/>
    <tableColumn id="4" xr3:uid="{00000000-0010-0000-0200-000004000000}" name="Paket-ID"/>
    <tableColumn id="5" xr3:uid="{00000000-0010-0000-0200-000005000000}" name="Visningsnamn"/>
    <tableColumn id="6" xr3:uid="{00000000-0010-0000-0200-000006000000}" name="Typ"/>
    <tableColumn id="7" xr3:uid="{00000000-0010-0000-0200-000007000000}" name="Nuvarande webbpris"/>
    <tableColumn id="8" xr3:uid="{00000000-0010-0000-0200-000008000000}" name="Nuvarande timmar"/>
    <tableColumn id="9" xr3:uid="{00000000-0010-0000-0200-000009000000}" name="Offert?"/>
    <tableColumn id="10" xr3:uid="{00000000-0010-0000-0200-00000A000000}" name="Använd intern kalkyl?"/>
    <tableColumn id="11" xr3:uid="{00000000-0010-0000-0200-00000B000000}" name="Internt kalkylpris"/>
    <tableColumn id="12" xr3:uid="{00000000-0010-0000-0200-00000C000000}" name="Interna timmar"/>
    <tableColumn id="13" xr3:uid="{00000000-0010-0000-0200-00000D000000}" name="Exportpris"/>
    <tableColumn id="14" xr3:uid="{00000000-0010-0000-0200-00000E000000}" name="Exporttimmar"/>
    <tableColumn id="15" xr3:uid="{00000000-0010-0000-0200-00000F000000}" name="Noter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imhallDelarTable" displayName="SimhallDelarTable" ref="Q6:AE126" totalsRowShown="0">
  <tableColumns count="15">
    <tableColumn id="1" xr3:uid="{00000000-0010-0000-0300-000001000000}" name="Paket-ID"/>
    <tableColumn id="2" xr3:uid="{00000000-0010-0000-0300-000002000000}" name="Del-ID"/>
    <tableColumn id="3" xr3:uid="{00000000-0010-0000-0300-000003000000}" name="Benämning"/>
    <tableColumn id="4" xr3:uid="{00000000-0010-0000-0300-000004000000}" name="Antal"/>
    <tableColumn id="5" xr3:uid="{00000000-0010-0000-0300-000005000000}" name="Enhet"/>
    <tableColumn id="6" xr3:uid="{00000000-0010-0000-0300-000006000000}" name="Inköpspris/st"/>
    <tableColumn id="7" xr3:uid="{00000000-0010-0000-0300-000007000000}" name="Material"/>
    <tableColumn id="8" xr3:uid="{00000000-0010-0000-0300-000008000000}" name="Arbete h/st"/>
    <tableColumn id="9" xr3:uid="{00000000-0010-0000-0300-000009000000}" name="Timmar"/>
    <tableColumn id="10" xr3:uid="{00000000-0010-0000-0300-00000A000000}" name="Timpris"/>
    <tableColumn id="11" xr3:uid="{00000000-0010-0000-0300-00000B000000}" name="Arbete"/>
    <tableColumn id="12" xr3:uid="{00000000-0010-0000-0300-00000C000000}" name="Övrigt"/>
    <tableColumn id="13" xr3:uid="{00000000-0010-0000-0300-00000D000000}" name="Påslag %"/>
    <tableColumn id="14" xr3:uid="{00000000-0010-0000-0300-00000E000000}" name="Budgetpris"/>
    <tableColumn id="15" xr3:uid="{00000000-0010-0000-0300-00000F000000}" name="Komment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KonferensWebbTable" displayName="KonferensWebbTable" ref="A6:O51" totalsRowShown="0">
  <tableColumns count="15">
    <tableColumn id="1" xr3:uid="{00000000-0010-0000-0400-000001000000}" name="Publicera"/>
    <tableColumn id="2" xr3:uid="{00000000-0010-0000-0400-000002000000}" name="Grupp"/>
    <tableColumn id="3" xr3:uid="{00000000-0010-0000-0400-000003000000}" name="Nyckel"/>
    <tableColumn id="4" xr3:uid="{00000000-0010-0000-0400-000004000000}" name="Paket-ID"/>
    <tableColumn id="5" xr3:uid="{00000000-0010-0000-0400-000005000000}" name="Visningsnamn"/>
    <tableColumn id="6" xr3:uid="{00000000-0010-0000-0400-000006000000}" name="Typ"/>
    <tableColumn id="7" xr3:uid="{00000000-0010-0000-0400-000007000000}" name="Nuvarande webbpris"/>
    <tableColumn id="8" xr3:uid="{00000000-0010-0000-0400-000008000000}" name="Nuvarande timmar"/>
    <tableColumn id="9" xr3:uid="{00000000-0010-0000-0400-000009000000}" name="Offert?"/>
    <tableColumn id="10" xr3:uid="{00000000-0010-0000-0400-00000A000000}" name="Använd intern kalkyl?"/>
    <tableColumn id="11" xr3:uid="{00000000-0010-0000-0400-00000B000000}" name="Internt kalkylpris"/>
    <tableColumn id="12" xr3:uid="{00000000-0010-0000-0400-00000C000000}" name="Interna timmar"/>
    <tableColumn id="13" xr3:uid="{00000000-0010-0000-0400-00000D000000}" name="Exportpris"/>
    <tableColumn id="14" xr3:uid="{00000000-0010-0000-0400-00000E000000}" name="Exporttimmar"/>
    <tableColumn id="15" xr3:uid="{00000000-0010-0000-0400-00000F000000}" name="Noteri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KonferensDelarTable" displayName="KonferensDelarTable" ref="Q6:AE126" totalsRowShown="0">
  <tableColumns count="15">
    <tableColumn id="1" xr3:uid="{00000000-0010-0000-0500-000001000000}" name="Paket-ID"/>
    <tableColumn id="2" xr3:uid="{00000000-0010-0000-0500-000002000000}" name="Del-ID"/>
    <tableColumn id="3" xr3:uid="{00000000-0010-0000-0500-000003000000}" name="Benämning"/>
    <tableColumn id="4" xr3:uid="{00000000-0010-0000-0500-000004000000}" name="Antal"/>
    <tableColumn id="5" xr3:uid="{00000000-0010-0000-0500-000005000000}" name="Enhet"/>
    <tableColumn id="6" xr3:uid="{00000000-0010-0000-0500-000006000000}" name="Inköpspris/st"/>
    <tableColumn id="7" xr3:uid="{00000000-0010-0000-0500-000007000000}" name="Material"/>
    <tableColumn id="8" xr3:uid="{00000000-0010-0000-0500-000008000000}" name="Arbete h/st"/>
    <tableColumn id="9" xr3:uid="{00000000-0010-0000-0500-000009000000}" name="Timmar"/>
    <tableColumn id="10" xr3:uid="{00000000-0010-0000-0500-00000A000000}" name="Timpris"/>
    <tableColumn id="11" xr3:uid="{00000000-0010-0000-0500-00000B000000}" name="Arbete"/>
    <tableColumn id="12" xr3:uid="{00000000-0010-0000-0500-00000C000000}" name="Övrigt"/>
    <tableColumn id="13" xr3:uid="{00000000-0010-0000-0500-00000D000000}" name="Påslag %"/>
    <tableColumn id="14" xr3:uid="{00000000-0010-0000-0500-00000E000000}" name="Budgetpris"/>
    <tableColumn id="15" xr3:uid="{00000000-0010-0000-0500-00000F000000}" name="Kommenta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staurangWebbTable" displayName="RestaurangWebbTable" ref="A6:O51" totalsRowShown="0">
  <tableColumns count="15">
    <tableColumn id="1" xr3:uid="{00000000-0010-0000-0600-000001000000}" name="Publicera"/>
    <tableColumn id="2" xr3:uid="{00000000-0010-0000-0600-000002000000}" name="Grupp"/>
    <tableColumn id="3" xr3:uid="{00000000-0010-0000-0600-000003000000}" name="Nyckel"/>
    <tableColumn id="4" xr3:uid="{00000000-0010-0000-0600-000004000000}" name="Paket-ID"/>
    <tableColumn id="5" xr3:uid="{00000000-0010-0000-0600-000005000000}" name="Visningsnamn"/>
    <tableColumn id="6" xr3:uid="{00000000-0010-0000-0600-000006000000}" name="Typ"/>
    <tableColumn id="7" xr3:uid="{00000000-0010-0000-0600-000007000000}" name="Nuvarande webbpris"/>
    <tableColumn id="8" xr3:uid="{00000000-0010-0000-0600-000008000000}" name="Nuvarande timmar"/>
    <tableColumn id="9" xr3:uid="{00000000-0010-0000-0600-000009000000}" name="Offert?"/>
    <tableColumn id="10" xr3:uid="{00000000-0010-0000-0600-00000A000000}" name="Använd intern kalkyl?"/>
    <tableColumn id="11" xr3:uid="{00000000-0010-0000-0600-00000B000000}" name="Internt kalkylpris"/>
    <tableColumn id="12" xr3:uid="{00000000-0010-0000-0600-00000C000000}" name="Interna timmar"/>
    <tableColumn id="13" xr3:uid="{00000000-0010-0000-0600-00000D000000}" name="Exportpris"/>
    <tableColumn id="14" xr3:uid="{00000000-0010-0000-0600-00000E000000}" name="Exporttimmar"/>
    <tableColumn id="15" xr3:uid="{00000000-0010-0000-0600-00000F000000}" name="Noteri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estaurangDelarTable" displayName="RestaurangDelarTable" ref="Q6:AE126" totalsRowShown="0">
  <tableColumns count="15">
    <tableColumn id="1" xr3:uid="{00000000-0010-0000-0700-000001000000}" name="Paket-ID"/>
    <tableColumn id="2" xr3:uid="{00000000-0010-0000-0700-000002000000}" name="Del-ID"/>
    <tableColumn id="3" xr3:uid="{00000000-0010-0000-0700-000003000000}" name="Benämning"/>
    <tableColumn id="4" xr3:uid="{00000000-0010-0000-0700-000004000000}" name="Antal"/>
    <tableColumn id="5" xr3:uid="{00000000-0010-0000-0700-000005000000}" name="Enhet"/>
    <tableColumn id="6" xr3:uid="{00000000-0010-0000-0700-000006000000}" name="Inköpspris/st"/>
    <tableColumn id="7" xr3:uid="{00000000-0010-0000-0700-000007000000}" name="Material"/>
    <tableColumn id="8" xr3:uid="{00000000-0010-0000-0700-000008000000}" name="Arbete h/st"/>
    <tableColumn id="9" xr3:uid="{00000000-0010-0000-0700-000009000000}" name="Timmar"/>
    <tableColumn id="10" xr3:uid="{00000000-0010-0000-0700-00000A000000}" name="Timpris"/>
    <tableColumn id="11" xr3:uid="{00000000-0010-0000-0700-00000B000000}" name="Arbete"/>
    <tableColumn id="12" xr3:uid="{00000000-0010-0000-0700-00000C000000}" name="Övrigt"/>
    <tableColumn id="13" xr3:uid="{00000000-0010-0000-0700-00000D000000}" name="Påslag %"/>
    <tableColumn id="14" xr3:uid="{00000000-0010-0000-0700-00000E000000}" name="Budgetpris"/>
    <tableColumn id="15" xr3:uid="{00000000-0010-0000-0700-00000F000000}" name="Kommenta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GymWebbTable" displayName="GymWebbTable" ref="A6:O51" totalsRowShown="0">
  <tableColumns count="15">
    <tableColumn id="1" xr3:uid="{00000000-0010-0000-0800-000001000000}" name="Publicera"/>
    <tableColumn id="2" xr3:uid="{00000000-0010-0000-0800-000002000000}" name="Grupp"/>
    <tableColumn id="3" xr3:uid="{00000000-0010-0000-0800-000003000000}" name="Nyckel"/>
    <tableColumn id="4" xr3:uid="{00000000-0010-0000-0800-000004000000}" name="Paket-ID"/>
    <tableColumn id="5" xr3:uid="{00000000-0010-0000-0800-000005000000}" name="Visningsnamn"/>
    <tableColumn id="6" xr3:uid="{00000000-0010-0000-0800-000006000000}" name="Typ"/>
    <tableColumn id="7" xr3:uid="{00000000-0010-0000-0800-000007000000}" name="Nuvarande webbpris"/>
    <tableColumn id="8" xr3:uid="{00000000-0010-0000-0800-000008000000}" name="Nuvarande timmar"/>
    <tableColumn id="9" xr3:uid="{00000000-0010-0000-0800-000009000000}" name="Offert?"/>
    <tableColumn id="10" xr3:uid="{00000000-0010-0000-0800-00000A000000}" name="Använd intern kalkyl?"/>
    <tableColumn id="11" xr3:uid="{00000000-0010-0000-0800-00000B000000}" name="Internt kalkylpris"/>
    <tableColumn id="12" xr3:uid="{00000000-0010-0000-0800-00000C000000}" name="Interna timmar"/>
    <tableColumn id="13" xr3:uid="{00000000-0010-0000-0800-00000D000000}" name="Exportpris"/>
    <tableColumn id="14" xr3:uid="{00000000-0010-0000-0800-00000E000000}" name="Exporttimmar"/>
    <tableColumn id="15" xr3:uid="{00000000-0010-0000-0800-00000F000000}" name="Noteri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ymDelarTable" displayName="GymDelarTable" ref="Q6:AE126" totalsRowShown="0">
  <tableColumns count="15">
    <tableColumn id="1" xr3:uid="{00000000-0010-0000-0900-000001000000}" name="Paket-ID"/>
    <tableColumn id="2" xr3:uid="{00000000-0010-0000-0900-000002000000}" name="Del-ID"/>
    <tableColumn id="3" xr3:uid="{00000000-0010-0000-0900-000003000000}" name="Benämning"/>
    <tableColumn id="4" xr3:uid="{00000000-0010-0000-0900-000004000000}" name="Antal"/>
    <tableColumn id="5" xr3:uid="{00000000-0010-0000-0900-000005000000}" name="Enhet"/>
    <tableColumn id="6" xr3:uid="{00000000-0010-0000-0900-000006000000}" name="Inköpspris/st"/>
    <tableColumn id="7" xr3:uid="{00000000-0010-0000-0900-000007000000}" name="Material"/>
    <tableColumn id="8" xr3:uid="{00000000-0010-0000-0900-000008000000}" name="Arbete h/st"/>
    <tableColumn id="9" xr3:uid="{00000000-0010-0000-0900-000009000000}" name="Timmar"/>
    <tableColumn id="10" xr3:uid="{00000000-0010-0000-0900-00000A000000}" name="Timpris"/>
    <tableColumn id="11" xr3:uid="{00000000-0010-0000-0900-00000B000000}" name="Arbete"/>
    <tableColumn id="12" xr3:uid="{00000000-0010-0000-0900-00000C000000}" name="Övrigt"/>
    <tableColumn id="13" xr3:uid="{00000000-0010-0000-0900-00000D000000}" name="Påslag %"/>
    <tableColumn id="14" xr3:uid="{00000000-0010-0000-0900-00000E000000}" name="Budgetpris"/>
    <tableColumn id="15" xr3:uid="{00000000-0010-0000-0900-00000F000000}" name="Kommenta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WebbexportTable" displayName="WebbexportTable" ref="A6:J248" totalsRowShown="0">
  <tableColumns count="10">
    <tableColumn id="1" xr3:uid="{00000000-0010-0000-0A00-000001000000}" name="Område"/>
    <tableColumn id="2" xr3:uid="{00000000-0010-0000-0A00-000002000000}" name="Grupp"/>
    <tableColumn id="3" xr3:uid="{00000000-0010-0000-0A00-000003000000}" name="Nyckel"/>
    <tableColumn id="4" xr3:uid="{00000000-0010-0000-0A00-000004000000}" name="Paket-ID"/>
    <tableColumn id="5" xr3:uid="{00000000-0010-0000-0A00-000005000000}" name="Visningsnamn"/>
    <tableColumn id="6" xr3:uid="{00000000-0010-0000-0A00-000006000000}" name="Typ"/>
    <tableColumn id="7" xr3:uid="{00000000-0010-0000-0A00-000007000000}" name="Pris"/>
    <tableColumn id="8" xr3:uid="{00000000-0010-0000-0A00-000008000000}" name="Timmar"/>
    <tableColumn id="9" xr3:uid="{00000000-0010-0000-0A00-000009000000}" name="Offert?"/>
    <tableColumn id="10" xr3:uid="{00000000-0010-0000-0A00-00000A000000}" name="Noter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sqref="A1:H2"/>
    </sheetView>
  </sheetViews>
  <sheetFormatPr defaultRowHeight="14.25"/>
  <cols>
    <col min="1" max="1" width="20" customWidth="1"/>
    <col min="2" max="2" width="22" customWidth="1"/>
    <col min="3" max="8" width="18" customWidth="1"/>
  </cols>
  <sheetData>
    <row r="1" spans="1:8">
      <c r="A1" s="19" t="s">
        <v>0</v>
      </c>
      <c r="B1" s="19"/>
      <c r="C1" s="19"/>
      <c r="D1" s="19"/>
      <c r="E1" s="19"/>
      <c r="F1" s="19"/>
      <c r="G1" s="19"/>
      <c r="H1" s="19"/>
    </row>
    <row r="2" spans="1:8">
      <c r="A2" s="19"/>
      <c r="B2" s="19"/>
      <c r="C2" s="19"/>
      <c r="D2" s="19"/>
      <c r="E2" s="19"/>
      <c r="F2" s="19"/>
      <c r="G2" s="19"/>
      <c r="H2" s="19"/>
    </row>
    <row r="3" spans="1:8">
      <c r="A3" s="3"/>
      <c r="B3" s="3"/>
      <c r="C3" s="3"/>
      <c r="D3" s="3"/>
      <c r="E3" s="3"/>
      <c r="F3" s="3"/>
      <c r="G3" s="3"/>
      <c r="H3" s="3"/>
    </row>
    <row r="4" spans="1:8" ht="15">
      <c r="A4" s="20" t="s">
        <v>1</v>
      </c>
      <c r="B4" s="20"/>
      <c r="C4" s="20"/>
      <c r="D4" s="20"/>
      <c r="E4" s="20"/>
      <c r="F4" s="20"/>
      <c r="G4" s="20"/>
      <c r="H4" s="20"/>
    </row>
    <row r="5" spans="1:8">
      <c r="A5" s="21" t="s">
        <v>2</v>
      </c>
      <c r="B5" s="21"/>
      <c r="C5" s="21"/>
      <c r="D5" s="21"/>
      <c r="E5" s="21"/>
      <c r="F5" s="21"/>
      <c r="G5" s="21"/>
      <c r="H5" s="21"/>
    </row>
    <row r="6" spans="1:8">
      <c r="A6" s="21"/>
      <c r="B6" s="21"/>
      <c r="C6" s="21"/>
      <c r="D6" s="21"/>
      <c r="E6" s="21"/>
      <c r="F6" s="21"/>
      <c r="G6" s="21"/>
      <c r="H6" s="21"/>
    </row>
    <row r="7" spans="1:8">
      <c r="A7" s="21"/>
      <c r="B7" s="21"/>
      <c r="C7" s="21"/>
      <c r="D7" s="21"/>
      <c r="E7" s="21"/>
      <c r="F7" s="21"/>
      <c r="G7" s="21"/>
      <c r="H7" s="21"/>
    </row>
    <row r="8" spans="1:8">
      <c r="A8" s="3"/>
      <c r="B8" s="3"/>
      <c r="C8" s="3"/>
      <c r="D8" s="3"/>
      <c r="E8" s="3"/>
      <c r="F8" s="3"/>
      <c r="G8" s="3"/>
      <c r="H8" s="3"/>
    </row>
    <row r="9" spans="1:8" ht="15">
      <c r="A9" s="2" t="s">
        <v>3</v>
      </c>
      <c r="B9" s="22" t="s">
        <v>4</v>
      </c>
      <c r="C9" s="22"/>
      <c r="D9" s="22"/>
      <c r="E9" s="22"/>
      <c r="F9" s="22"/>
      <c r="G9" s="22"/>
      <c r="H9" s="22"/>
    </row>
    <row r="10" spans="1:8" ht="15">
      <c r="A10" s="1" t="s">
        <v>5</v>
      </c>
      <c r="B10" s="21" t="s">
        <v>6</v>
      </c>
      <c r="C10" s="21"/>
      <c r="D10" s="21"/>
      <c r="E10" s="21"/>
      <c r="F10" s="21"/>
      <c r="G10" s="21"/>
      <c r="H10" s="21"/>
    </row>
    <row r="11" spans="1:8" ht="15">
      <c r="A11" s="1" t="s">
        <v>7</v>
      </c>
      <c r="B11" s="21" t="s">
        <v>8</v>
      </c>
      <c r="C11" s="21"/>
      <c r="D11" s="21"/>
      <c r="E11" s="21"/>
      <c r="F11" s="21"/>
      <c r="G11" s="21"/>
      <c r="H11" s="21"/>
    </row>
    <row r="12" spans="1:8" ht="30">
      <c r="A12" s="1" t="s">
        <v>9</v>
      </c>
      <c r="B12" s="21" t="s">
        <v>10</v>
      </c>
      <c r="C12" s="21"/>
      <c r="D12" s="21"/>
      <c r="E12" s="21"/>
      <c r="F12" s="21"/>
      <c r="G12" s="21"/>
      <c r="H12" s="21"/>
    </row>
    <row r="13" spans="1:8" ht="15">
      <c r="A13" s="1" t="s">
        <v>11</v>
      </c>
      <c r="B13" s="21" t="s">
        <v>12</v>
      </c>
      <c r="C13" s="21"/>
      <c r="D13" s="21"/>
      <c r="E13" s="21"/>
      <c r="F13" s="21"/>
      <c r="G13" s="21"/>
      <c r="H13" s="21"/>
    </row>
    <row r="14" spans="1:8" ht="15">
      <c r="A14" s="1" t="s">
        <v>13</v>
      </c>
      <c r="B14" s="21" t="s">
        <v>14</v>
      </c>
      <c r="C14" s="21"/>
      <c r="D14" s="21"/>
      <c r="E14" s="21"/>
      <c r="F14" s="21"/>
      <c r="G14" s="21"/>
      <c r="H14" s="21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 ht="15">
      <c r="A17" s="2" t="s">
        <v>15</v>
      </c>
      <c r="B17" s="2" t="s">
        <v>16</v>
      </c>
      <c r="C17" s="2" t="s">
        <v>17</v>
      </c>
      <c r="D17" s="3"/>
      <c r="E17" s="3"/>
      <c r="F17" s="3"/>
      <c r="G17" s="3"/>
      <c r="H17" s="3"/>
    </row>
    <row r="18" spans="1:8" ht="71.25">
      <c r="A18" s="3" t="s">
        <v>18</v>
      </c>
      <c r="B18" s="3" t="s">
        <v>19</v>
      </c>
      <c r="C18" s="3" t="s">
        <v>20</v>
      </c>
      <c r="D18" s="3"/>
      <c r="E18" s="3"/>
      <c r="F18" s="3"/>
      <c r="G18" s="3"/>
      <c r="H18" s="3"/>
    </row>
    <row r="19" spans="1:8" ht="57">
      <c r="A19" s="3" t="s">
        <v>21</v>
      </c>
      <c r="B19" s="3" t="s">
        <v>22</v>
      </c>
      <c r="C19" s="3" t="s">
        <v>23</v>
      </c>
      <c r="D19" s="3"/>
      <c r="E19" s="3"/>
      <c r="F19" s="3"/>
      <c r="G19" s="3"/>
      <c r="H19" s="3"/>
    </row>
    <row r="20" spans="1:8" ht="57">
      <c r="A20" s="3" t="s">
        <v>24</v>
      </c>
      <c r="B20" s="3" t="s">
        <v>22</v>
      </c>
      <c r="C20" s="3" t="s">
        <v>23</v>
      </c>
      <c r="D20" s="3"/>
      <c r="E20" s="3"/>
      <c r="F20" s="3"/>
      <c r="G20" s="3"/>
      <c r="H20" s="3"/>
    </row>
    <row r="21" spans="1:8" ht="57">
      <c r="A21" s="3" t="s">
        <v>25</v>
      </c>
      <c r="B21" s="3" t="s">
        <v>22</v>
      </c>
      <c r="C21" s="3" t="s">
        <v>23</v>
      </c>
      <c r="D21" s="3"/>
      <c r="E21" s="3"/>
      <c r="F21" s="3"/>
      <c r="G21" s="3"/>
      <c r="H21" s="3"/>
    </row>
    <row r="22" spans="1:8" ht="57">
      <c r="A22" s="3" t="s">
        <v>26</v>
      </c>
      <c r="B22" s="3" t="s">
        <v>22</v>
      </c>
      <c r="C22" s="3" t="s">
        <v>23</v>
      </c>
      <c r="D22" s="3"/>
      <c r="E22" s="3"/>
      <c r="F22" s="3"/>
      <c r="G22" s="3"/>
      <c r="H22" s="3"/>
    </row>
  </sheetData>
  <mergeCells count="9">
    <mergeCell ref="B11:H11"/>
    <mergeCell ref="B12:H12"/>
    <mergeCell ref="B13:H13"/>
    <mergeCell ref="B14:H14"/>
    <mergeCell ref="A1:H2"/>
    <mergeCell ref="A4:H4"/>
    <mergeCell ref="A5:H7"/>
    <mergeCell ref="B9:H9"/>
    <mergeCell ref="B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4.25"/>
  <cols>
    <col min="1" max="1" width="24" customWidth="1"/>
    <col min="2" max="2" width="18" customWidth="1"/>
    <col min="3" max="3" width="12" customWidth="1"/>
    <col min="4" max="4" width="52" customWidth="1"/>
  </cols>
  <sheetData>
    <row r="1" spans="1:4">
      <c r="A1" s="23" t="s">
        <v>27</v>
      </c>
      <c r="B1" s="23"/>
      <c r="C1" s="23"/>
      <c r="D1" s="23"/>
    </row>
    <row r="2" spans="1:4">
      <c r="A2" s="23"/>
      <c r="B2" s="23"/>
      <c r="C2" s="23"/>
      <c r="D2" s="23"/>
    </row>
    <row r="4" spans="1:4" ht="15">
      <c r="A4" s="2" t="s">
        <v>28</v>
      </c>
      <c r="B4" s="2" t="s">
        <v>29</v>
      </c>
      <c r="C4" s="2" t="s">
        <v>30</v>
      </c>
      <c r="D4" s="2" t="s">
        <v>17</v>
      </c>
    </row>
    <row r="5" spans="1:4">
      <c r="A5" s="3" t="s">
        <v>31</v>
      </c>
      <c r="B5" s="17">
        <v>850</v>
      </c>
      <c r="C5" s="3" t="s">
        <v>32</v>
      </c>
      <c r="D5" s="3" t="s">
        <v>33</v>
      </c>
    </row>
    <row r="6" spans="1:4">
      <c r="A6" s="3" t="s">
        <v>34</v>
      </c>
      <c r="B6" s="5">
        <v>0.15</v>
      </c>
      <c r="C6" s="3" t="s">
        <v>35</v>
      </c>
      <c r="D6" s="3" t="s">
        <v>36</v>
      </c>
    </row>
    <row r="7" spans="1:4">
      <c r="A7" s="3" t="s">
        <v>37</v>
      </c>
      <c r="B7" s="6">
        <v>0.25</v>
      </c>
      <c r="C7" s="3" t="s">
        <v>35</v>
      </c>
      <c r="D7" s="3" t="s">
        <v>38</v>
      </c>
    </row>
    <row r="8" spans="1:4">
      <c r="A8" s="3" t="s">
        <v>39</v>
      </c>
      <c r="B8" s="3" t="s">
        <v>40</v>
      </c>
      <c r="C8" s="3"/>
      <c r="D8" s="3" t="s">
        <v>41</v>
      </c>
    </row>
    <row r="9" spans="1:4">
      <c r="A9" s="3" t="s">
        <v>42</v>
      </c>
      <c r="B9" s="3" t="s">
        <v>43</v>
      </c>
      <c r="C9" s="3"/>
      <c r="D9" s="3" t="s">
        <v>44</v>
      </c>
    </row>
    <row r="10" spans="1:4">
      <c r="A10" t="s">
        <v>45</v>
      </c>
      <c r="B10" t="s">
        <v>46</v>
      </c>
      <c r="D10" t="s">
        <v>47</v>
      </c>
    </row>
    <row r="11" spans="1:4">
      <c r="A11" t="s">
        <v>48</v>
      </c>
      <c r="B11" t="s">
        <v>49</v>
      </c>
      <c r="D11" t="s">
        <v>50</v>
      </c>
    </row>
  </sheetData>
  <mergeCells count="1">
    <mergeCell ref="A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26"/>
  <sheetViews>
    <sheetView workbookViewId="0"/>
  </sheetViews>
  <sheetFormatPr defaultRowHeight="14.25"/>
  <cols>
    <col min="1" max="1" width="11" customWidth="1"/>
    <col min="2" max="3" width="16" customWidth="1"/>
    <col min="4" max="4" width="24" customWidth="1"/>
    <col min="5" max="5" width="30" customWidth="1"/>
    <col min="6" max="6" width="13" customWidth="1"/>
    <col min="7" max="7" width="18" customWidth="1"/>
    <col min="8" max="8" width="16" customWidth="1"/>
    <col min="9" max="9" width="10" customWidth="1"/>
    <col min="10" max="10" width="20" customWidth="1"/>
    <col min="11" max="11" width="18" customWidth="1"/>
    <col min="12" max="12" width="15" customWidth="1"/>
    <col min="13" max="13" width="16" customWidth="1"/>
    <col min="14" max="14" width="15" customWidth="1"/>
    <col min="15" max="15" width="48" customWidth="1"/>
    <col min="17" max="17" width="24" customWidth="1"/>
    <col min="18" max="18" width="16" customWidth="1"/>
    <col min="19" max="19" width="32" customWidth="1"/>
    <col min="20" max="21" width="10" customWidth="1"/>
    <col min="22" max="23" width="16" customWidth="1"/>
    <col min="24" max="24" width="13" customWidth="1"/>
    <col min="25" max="25" width="12" customWidth="1"/>
    <col min="26" max="26" width="14" customWidth="1"/>
    <col min="27" max="27" width="16" customWidth="1"/>
    <col min="28" max="28" width="14" customWidth="1"/>
    <col min="29" max="29" width="12" customWidth="1"/>
    <col min="30" max="30" width="16" customWidth="1"/>
    <col min="31" max="31" width="40" customWidth="1"/>
  </cols>
  <sheetData>
    <row r="1" spans="1:31">
      <c r="A1" s="19" t="s">
        <v>51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21" t="s">
        <v>52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30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63</v>
      </c>
      <c r="L6" s="2" t="s">
        <v>64</v>
      </c>
      <c r="M6" s="2" t="s">
        <v>65</v>
      </c>
      <c r="N6" s="2" t="s">
        <v>66</v>
      </c>
      <c r="O6" s="2" t="s">
        <v>67</v>
      </c>
      <c r="P6" s="3"/>
      <c r="Q6" s="2" t="s">
        <v>56</v>
      </c>
      <c r="R6" s="2" t="s">
        <v>68</v>
      </c>
      <c r="S6" s="2" t="s">
        <v>69</v>
      </c>
      <c r="T6" s="2" t="s">
        <v>70</v>
      </c>
      <c r="U6" s="2" t="s">
        <v>30</v>
      </c>
      <c r="V6" s="2" t="s">
        <v>71</v>
      </c>
      <c r="W6" s="2" t="s">
        <v>72</v>
      </c>
      <c r="X6" s="2" t="s">
        <v>73</v>
      </c>
      <c r="Y6" s="2" t="s">
        <v>74</v>
      </c>
      <c r="Z6" s="2" t="s">
        <v>75</v>
      </c>
      <c r="AA6" s="2" t="s">
        <v>76</v>
      </c>
      <c r="AB6" s="2" t="s">
        <v>77</v>
      </c>
      <c r="AC6" s="2" t="s">
        <v>78</v>
      </c>
      <c r="AD6" s="2" t="s">
        <v>79</v>
      </c>
      <c r="AE6" s="2" t="s">
        <v>17</v>
      </c>
    </row>
    <row r="7" spans="1:31" ht="42.75">
      <c r="A7" s="7" t="s">
        <v>46</v>
      </c>
      <c r="B7" s="7" t="s">
        <v>80</v>
      </c>
      <c r="C7" s="7" t="s">
        <v>81</v>
      </c>
      <c r="D7" s="7" t="s">
        <v>82</v>
      </c>
      <c r="E7" s="7" t="s">
        <v>83</v>
      </c>
      <c r="F7" s="7" t="s">
        <v>84</v>
      </c>
      <c r="G7" s="8">
        <v>0</v>
      </c>
      <c r="H7" s="9">
        <v>0</v>
      </c>
      <c r="I7" s="7" t="s">
        <v>85</v>
      </c>
      <c r="J7" s="7" t="s">
        <v>85</v>
      </c>
      <c r="K7" s="10">
        <f t="shared" ref="K7:K51" si="0">IF(D7="","",SUMIF($Q$7:$Q$126,D7,$AD$7:$AD$126))</f>
        <v>0</v>
      </c>
      <c r="L7" s="11">
        <f t="shared" ref="L7:L51" si="1">IF(D7="","",SUMIF($Q$7:$Q$126,D7,$Y$7:$Y$126))</f>
        <v>0</v>
      </c>
      <c r="M7" s="10">
        <f t="shared" ref="M7:M51" si="2">IF(D7="","",IF(J7="Ja",K7,G7))</f>
        <v>0</v>
      </c>
      <c r="N7" s="11">
        <f t="shared" ref="N7:N51" si="3">IF(D7="","",IF(J7="Ja",L7,H7))</f>
        <v>0</v>
      </c>
      <c r="O7" s="3" t="s">
        <v>86</v>
      </c>
      <c r="P7" s="3"/>
      <c r="Q7" s="12" t="s">
        <v>87</v>
      </c>
      <c r="R7" s="12" t="s">
        <v>88</v>
      </c>
      <c r="S7" s="12" t="s">
        <v>89</v>
      </c>
      <c r="T7" s="12">
        <v>1</v>
      </c>
      <c r="U7" s="12" t="s">
        <v>90</v>
      </c>
      <c r="V7" s="18">
        <v>18339.130434999999</v>
      </c>
      <c r="W7" s="10">
        <f t="shared" ref="W7:W38" si="4">IF(OR(T7="",V7=""),0,T7*V7)</f>
        <v>18339.130434999999</v>
      </c>
      <c r="X7" s="11">
        <v>4</v>
      </c>
      <c r="Y7" s="11">
        <f t="shared" ref="Y7:Y38" si="5">IF(OR(T7="",X7=""),0,T7*X7)</f>
        <v>4</v>
      </c>
      <c r="Z7" s="10">
        <f>IF(Inställningar!$B$5="",0,Inställningar!$B$5)</f>
        <v>850</v>
      </c>
      <c r="AA7" s="10">
        <f t="shared" ref="AA7:AA38" si="6">Y7*Z7</f>
        <v>3400</v>
      </c>
      <c r="AB7" s="4">
        <v>0</v>
      </c>
      <c r="AC7" s="13">
        <f>IF(Inställningar!$B$6="",0,Inställningar!$B$6)</f>
        <v>0.15</v>
      </c>
      <c r="AD7" s="10">
        <f t="shared" ref="AD7:AD38" si="7">ROUND((W7+AA7+IF(AB7="",0,AB7))*(1+AC7),0)</f>
        <v>25000</v>
      </c>
      <c r="AE7" s="12" t="s">
        <v>91</v>
      </c>
    </row>
    <row r="8" spans="1:31" ht="43.5">
      <c r="A8" s="7" t="s">
        <v>46</v>
      </c>
      <c r="B8" s="7" t="s">
        <v>80</v>
      </c>
      <c r="C8" s="7" t="s">
        <v>92</v>
      </c>
      <c r="D8" s="7" t="s">
        <v>87</v>
      </c>
      <c r="E8" s="7" t="s">
        <v>83</v>
      </c>
      <c r="F8" s="7" t="s">
        <v>84</v>
      </c>
      <c r="G8" s="8">
        <v>25000</v>
      </c>
      <c r="H8" s="9">
        <v>4</v>
      </c>
      <c r="I8" s="7" t="s">
        <v>85</v>
      </c>
      <c r="J8" s="7" t="s">
        <v>46</v>
      </c>
      <c r="K8" s="10">
        <f t="shared" si="0"/>
        <v>25000</v>
      </c>
      <c r="L8" s="11">
        <f t="shared" si="1"/>
        <v>4</v>
      </c>
      <c r="M8" s="10">
        <f t="shared" si="2"/>
        <v>25000</v>
      </c>
      <c r="N8" s="11">
        <f t="shared" si="3"/>
        <v>4</v>
      </c>
      <c r="O8" s="3" t="s">
        <v>93</v>
      </c>
      <c r="P8" s="3"/>
      <c r="Q8" s="12" t="s">
        <v>94</v>
      </c>
      <c r="R8" s="12" t="s">
        <v>95</v>
      </c>
      <c r="S8" s="12" t="s">
        <v>89</v>
      </c>
      <c r="T8" s="12">
        <v>1</v>
      </c>
      <c r="U8" s="12" t="s">
        <v>90</v>
      </c>
      <c r="V8" s="18">
        <v>11402.173913000001</v>
      </c>
      <c r="W8" s="10">
        <f t="shared" si="4"/>
        <v>11402.173913000001</v>
      </c>
      <c r="X8" s="11">
        <v>5</v>
      </c>
      <c r="Y8" s="11">
        <f t="shared" si="5"/>
        <v>5</v>
      </c>
      <c r="Z8" s="10">
        <f>IF(Inställningar!$B$5="",0,Inställningar!$B$5)</f>
        <v>850</v>
      </c>
      <c r="AA8" s="10">
        <f t="shared" si="6"/>
        <v>4250</v>
      </c>
      <c r="AB8" s="4">
        <v>0</v>
      </c>
      <c r="AC8" s="13">
        <f>IF(Inställningar!$B$6="",0,Inställningar!$B$6)</f>
        <v>0.15</v>
      </c>
      <c r="AD8" s="10">
        <f t="shared" si="7"/>
        <v>18000</v>
      </c>
      <c r="AE8" s="12" t="s">
        <v>91</v>
      </c>
    </row>
    <row r="9" spans="1:31" ht="43.5">
      <c r="A9" s="7" t="s">
        <v>46</v>
      </c>
      <c r="B9" s="7" t="s">
        <v>80</v>
      </c>
      <c r="C9" s="7" t="s">
        <v>96</v>
      </c>
      <c r="D9" s="7" t="s">
        <v>94</v>
      </c>
      <c r="E9" s="7" t="s">
        <v>83</v>
      </c>
      <c r="F9" s="7" t="s">
        <v>84</v>
      </c>
      <c r="G9" s="8">
        <v>18000</v>
      </c>
      <c r="H9" s="9">
        <v>5</v>
      </c>
      <c r="I9" s="7" t="s">
        <v>85</v>
      </c>
      <c r="J9" s="7" t="s">
        <v>46</v>
      </c>
      <c r="K9" s="10">
        <f t="shared" si="0"/>
        <v>18000</v>
      </c>
      <c r="L9" s="11">
        <f t="shared" si="1"/>
        <v>5</v>
      </c>
      <c r="M9" s="10">
        <f t="shared" si="2"/>
        <v>18000</v>
      </c>
      <c r="N9" s="11">
        <f t="shared" si="3"/>
        <v>5</v>
      </c>
      <c r="O9" s="3" t="s">
        <v>97</v>
      </c>
      <c r="P9" s="3"/>
      <c r="Q9" s="12" t="s">
        <v>98</v>
      </c>
      <c r="R9" s="12" t="s">
        <v>99</v>
      </c>
      <c r="S9" s="12" t="s">
        <v>89</v>
      </c>
      <c r="T9" s="12">
        <v>1</v>
      </c>
      <c r="U9" s="12" t="s">
        <v>90</v>
      </c>
      <c r="V9" s="18">
        <v>19286.956522</v>
      </c>
      <c r="W9" s="10">
        <f t="shared" si="4"/>
        <v>19286.956522</v>
      </c>
      <c r="X9" s="11">
        <v>8</v>
      </c>
      <c r="Y9" s="11">
        <f t="shared" si="5"/>
        <v>8</v>
      </c>
      <c r="Z9" s="10">
        <f>IF(Inställningar!$B$5="",0,Inställningar!$B$5)</f>
        <v>850</v>
      </c>
      <c r="AA9" s="10">
        <f t="shared" si="6"/>
        <v>6800</v>
      </c>
      <c r="AB9" s="4">
        <v>0</v>
      </c>
      <c r="AC9" s="13">
        <f>IF(Inställningar!$B$6="",0,Inställningar!$B$6)</f>
        <v>0.15</v>
      </c>
      <c r="AD9" s="10">
        <f t="shared" si="7"/>
        <v>30000</v>
      </c>
      <c r="AE9" s="12" t="s">
        <v>91</v>
      </c>
    </row>
    <row r="10" spans="1:31" ht="43.5">
      <c r="A10" s="7" t="s">
        <v>46</v>
      </c>
      <c r="B10" s="7" t="s">
        <v>80</v>
      </c>
      <c r="C10" s="7" t="s">
        <v>100</v>
      </c>
      <c r="D10" s="7" t="s">
        <v>98</v>
      </c>
      <c r="E10" s="7" t="s">
        <v>83</v>
      </c>
      <c r="F10" s="7" t="s">
        <v>84</v>
      </c>
      <c r="G10" s="8">
        <v>30000</v>
      </c>
      <c r="H10" s="9">
        <v>8</v>
      </c>
      <c r="I10" s="7" t="s">
        <v>85</v>
      </c>
      <c r="J10" s="7" t="s">
        <v>46</v>
      </c>
      <c r="K10" s="10">
        <f t="shared" si="0"/>
        <v>30000</v>
      </c>
      <c r="L10" s="11">
        <f t="shared" si="1"/>
        <v>8</v>
      </c>
      <c r="M10" s="10">
        <f t="shared" si="2"/>
        <v>30000</v>
      </c>
      <c r="N10" s="11">
        <f t="shared" si="3"/>
        <v>8</v>
      </c>
      <c r="O10" s="3" t="s">
        <v>101</v>
      </c>
      <c r="P10" s="3"/>
      <c r="Q10" s="12" t="s">
        <v>102</v>
      </c>
      <c r="R10" s="12" t="s">
        <v>103</v>
      </c>
      <c r="S10" s="12" t="s">
        <v>89</v>
      </c>
      <c r="T10" s="12">
        <v>1</v>
      </c>
      <c r="U10" s="12" t="s">
        <v>90</v>
      </c>
      <c r="V10" s="18">
        <v>69917.391304000004</v>
      </c>
      <c r="W10" s="10">
        <f t="shared" si="4"/>
        <v>69917.391304000004</v>
      </c>
      <c r="X10" s="11">
        <v>18</v>
      </c>
      <c r="Y10" s="11">
        <f t="shared" si="5"/>
        <v>18</v>
      </c>
      <c r="Z10" s="10">
        <f>IF(Inställningar!$B$5="",0,Inställningar!$B$5)</f>
        <v>850</v>
      </c>
      <c r="AA10" s="10">
        <f t="shared" si="6"/>
        <v>15300</v>
      </c>
      <c r="AB10" s="4">
        <v>0</v>
      </c>
      <c r="AC10" s="13">
        <f>IF(Inställningar!$B$6="",0,Inställningar!$B$6)</f>
        <v>0.15</v>
      </c>
      <c r="AD10" s="10">
        <f t="shared" si="7"/>
        <v>98000</v>
      </c>
      <c r="AE10" s="12" t="s">
        <v>91</v>
      </c>
    </row>
    <row r="11" spans="1:31" ht="43.5">
      <c r="A11" s="7" t="s">
        <v>46</v>
      </c>
      <c r="B11" s="7" t="s">
        <v>104</v>
      </c>
      <c r="C11" s="7" t="s">
        <v>81</v>
      </c>
      <c r="D11" s="7" t="s">
        <v>102</v>
      </c>
      <c r="E11" s="7" t="s">
        <v>105</v>
      </c>
      <c r="F11" s="7" t="s">
        <v>84</v>
      </c>
      <c r="G11" s="8">
        <v>98000</v>
      </c>
      <c r="H11" s="9">
        <v>18</v>
      </c>
      <c r="I11" s="7" t="s">
        <v>85</v>
      </c>
      <c r="J11" s="7" t="s">
        <v>46</v>
      </c>
      <c r="K11" s="10">
        <f t="shared" si="0"/>
        <v>98000</v>
      </c>
      <c r="L11" s="11">
        <f t="shared" si="1"/>
        <v>18</v>
      </c>
      <c r="M11" s="10">
        <f t="shared" si="2"/>
        <v>98000</v>
      </c>
      <c r="N11" s="11">
        <f t="shared" si="3"/>
        <v>18</v>
      </c>
      <c r="O11" s="3" t="s">
        <v>106</v>
      </c>
      <c r="P11" s="3"/>
      <c r="Q11" s="12" t="s">
        <v>107</v>
      </c>
      <c r="R11" s="12" t="s">
        <v>108</v>
      </c>
      <c r="S11" s="12" t="s">
        <v>89</v>
      </c>
      <c r="T11" s="12">
        <v>1</v>
      </c>
      <c r="U11" s="12" t="s">
        <v>90</v>
      </c>
      <c r="V11" s="18">
        <v>88256.521739000003</v>
      </c>
      <c r="W11" s="10">
        <f t="shared" si="4"/>
        <v>88256.521739000003</v>
      </c>
      <c r="X11" s="11">
        <v>22</v>
      </c>
      <c r="Y11" s="11">
        <f t="shared" si="5"/>
        <v>22</v>
      </c>
      <c r="Z11" s="10">
        <f>IF(Inställningar!$B$5="",0,Inställningar!$B$5)</f>
        <v>850</v>
      </c>
      <c r="AA11" s="10">
        <f t="shared" si="6"/>
        <v>18700</v>
      </c>
      <c r="AB11" s="4">
        <v>0</v>
      </c>
      <c r="AC11" s="13">
        <f>IF(Inställningar!$B$6="",0,Inställningar!$B$6)</f>
        <v>0.15</v>
      </c>
      <c r="AD11" s="10">
        <f t="shared" si="7"/>
        <v>123000</v>
      </c>
      <c r="AE11" s="12" t="s">
        <v>91</v>
      </c>
    </row>
    <row r="12" spans="1:31" ht="43.5">
      <c r="A12" s="7" t="s">
        <v>46</v>
      </c>
      <c r="B12" s="7" t="s">
        <v>104</v>
      </c>
      <c r="C12" s="7" t="s">
        <v>109</v>
      </c>
      <c r="D12" s="7" t="s">
        <v>107</v>
      </c>
      <c r="E12" s="7" t="s">
        <v>105</v>
      </c>
      <c r="F12" s="7" t="s">
        <v>84</v>
      </c>
      <c r="G12" s="8">
        <v>123000</v>
      </c>
      <c r="H12" s="9">
        <v>22</v>
      </c>
      <c r="I12" s="7" t="s">
        <v>85</v>
      </c>
      <c r="J12" s="7" t="s">
        <v>46</v>
      </c>
      <c r="K12" s="10">
        <f t="shared" si="0"/>
        <v>123000</v>
      </c>
      <c r="L12" s="11">
        <f t="shared" si="1"/>
        <v>22</v>
      </c>
      <c r="M12" s="10">
        <f t="shared" si="2"/>
        <v>123000</v>
      </c>
      <c r="N12" s="11">
        <f t="shared" si="3"/>
        <v>22</v>
      </c>
      <c r="O12" s="3" t="s">
        <v>110</v>
      </c>
      <c r="P12" s="3"/>
      <c r="Q12" s="12" t="s">
        <v>111</v>
      </c>
      <c r="R12" s="12" t="s">
        <v>112</v>
      </c>
      <c r="S12" s="12" t="s">
        <v>89</v>
      </c>
      <c r="T12" s="12">
        <v>1</v>
      </c>
      <c r="U12" s="12" t="s">
        <v>90</v>
      </c>
      <c r="V12" s="18">
        <v>41973.913043</v>
      </c>
      <c r="W12" s="10">
        <f t="shared" si="4"/>
        <v>41973.913043</v>
      </c>
      <c r="X12" s="11">
        <v>12</v>
      </c>
      <c r="Y12" s="11">
        <f t="shared" si="5"/>
        <v>12</v>
      </c>
      <c r="Z12" s="10">
        <f>IF(Inställningar!$B$5="",0,Inställningar!$B$5)</f>
        <v>850</v>
      </c>
      <c r="AA12" s="10">
        <f t="shared" si="6"/>
        <v>10200</v>
      </c>
      <c r="AB12" s="4">
        <v>0</v>
      </c>
      <c r="AC12" s="13">
        <f>IF(Inställningar!$B$6="",0,Inställningar!$B$6)</f>
        <v>0.15</v>
      </c>
      <c r="AD12" s="10">
        <f t="shared" si="7"/>
        <v>60000</v>
      </c>
      <c r="AE12" s="12" t="s">
        <v>91</v>
      </c>
    </row>
    <row r="13" spans="1:31" ht="42.75">
      <c r="A13" s="7" t="s">
        <v>46</v>
      </c>
      <c r="B13" s="7" t="s">
        <v>113</v>
      </c>
      <c r="C13" s="7" t="s">
        <v>114</v>
      </c>
      <c r="D13" s="7" t="s">
        <v>115</v>
      </c>
      <c r="E13" s="7" t="s">
        <v>116</v>
      </c>
      <c r="F13" s="7" t="s">
        <v>84</v>
      </c>
      <c r="G13" s="8">
        <v>0</v>
      </c>
      <c r="H13" s="9">
        <v>0</v>
      </c>
      <c r="I13" s="7" t="s">
        <v>85</v>
      </c>
      <c r="J13" s="7" t="s">
        <v>85</v>
      </c>
      <c r="K13" s="10">
        <f t="shared" si="0"/>
        <v>0</v>
      </c>
      <c r="L13" s="11">
        <f t="shared" si="1"/>
        <v>0</v>
      </c>
      <c r="M13" s="10">
        <f t="shared" si="2"/>
        <v>0</v>
      </c>
      <c r="N13" s="11">
        <f t="shared" si="3"/>
        <v>0</v>
      </c>
      <c r="O13" s="3"/>
      <c r="P13" s="3"/>
      <c r="Q13" s="12" t="s">
        <v>117</v>
      </c>
      <c r="R13" s="12" t="s">
        <v>118</v>
      </c>
      <c r="S13" s="12" t="s">
        <v>89</v>
      </c>
      <c r="T13" s="12">
        <v>1</v>
      </c>
      <c r="U13" s="12" t="s">
        <v>90</v>
      </c>
      <c r="V13" s="18">
        <v>3952.1739130000001</v>
      </c>
      <c r="W13" s="10">
        <f t="shared" si="4"/>
        <v>3952.1739130000001</v>
      </c>
      <c r="X13" s="11">
        <v>2</v>
      </c>
      <c r="Y13" s="11">
        <f t="shared" si="5"/>
        <v>2</v>
      </c>
      <c r="Z13" s="10">
        <f>IF(Inställningar!$B$5="",0,Inställningar!$B$5)</f>
        <v>850</v>
      </c>
      <c r="AA13" s="10">
        <f t="shared" si="6"/>
        <v>1700</v>
      </c>
      <c r="AB13" s="4">
        <v>0</v>
      </c>
      <c r="AC13" s="13">
        <f>IF(Inställningar!$B$6="",0,Inställningar!$B$6)</f>
        <v>0.15</v>
      </c>
      <c r="AD13" s="10">
        <f t="shared" si="7"/>
        <v>6500</v>
      </c>
      <c r="AE13" s="12" t="s">
        <v>91</v>
      </c>
    </row>
    <row r="14" spans="1:31" ht="43.5">
      <c r="A14" s="7" t="s">
        <v>46</v>
      </c>
      <c r="B14" s="7" t="s">
        <v>113</v>
      </c>
      <c r="C14" s="7" t="s">
        <v>119</v>
      </c>
      <c r="D14" s="7" t="s">
        <v>111</v>
      </c>
      <c r="E14" s="7" t="s">
        <v>120</v>
      </c>
      <c r="F14" s="7" t="s">
        <v>84</v>
      </c>
      <c r="G14" s="8">
        <v>60000</v>
      </c>
      <c r="H14" s="9">
        <v>12</v>
      </c>
      <c r="I14" s="7" t="s">
        <v>85</v>
      </c>
      <c r="J14" s="7" t="s">
        <v>46</v>
      </c>
      <c r="K14" s="10">
        <f t="shared" si="0"/>
        <v>60000</v>
      </c>
      <c r="L14" s="11">
        <f t="shared" si="1"/>
        <v>12</v>
      </c>
      <c r="M14" s="10">
        <f t="shared" si="2"/>
        <v>60000</v>
      </c>
      <c r="N14" s="11">
        <f t="shared" si="3"/>
        <v>12</v>
      </c>
      <c r="O14" s="3" t="s">
        <v>121</v>
      </c>
      <c r="P14" s="3"/>
      <c r="Q14" s="12" t="s">
        <v>122</v>
      </c>
      <c r="R14" s="12" t="s">
        <v>123</v>
      </c>
      <c r="S14" s="12" t="s">
        <v>89</v>
      </c>
      <c r="T14" s="12">
        <v>1</v>
      </c>
      <c r="U14" s="12" t="s">
        <v>90</v>
      </c>
      <c r="V14" s="18">
        <v>20967.391304000001</v>
      </c>
      <c r="W14" s="10">
        <f t="shared" si="4"/>
        <v>20967.391304000001</v>
      </c>
      <c r="X14" s="11">
        <v>5</v>
      </c>
      <c r="Y14" s="11">
        <f t="shared" si="5"/>
        <v>5</v>
      </c>
      <c r="Z14" s="10">
        <f>IF(Inställningar!$B$5="",0,Inställningar!$B$5)</f>
        <v>850</v>
      </c>
      <c r="AA14" s="10">
        <f t="shared" si="6"/>
        <v>4250</v>
      </c>
      <c r="AB14" s="4">
        <v>0</v>
      </c>
      <c r="AC14" s="13">
        <f>IF(Inställningar!$B$6="",0,Inställningar!$B$6)</f>
        <v>0.15</v>
      </c>
      <c r="AD14" s="10">
        <f t="shared" si="7"/>
        <v>29000</v>
      </c>
      <c r="AE14" s="12" t="s">
        <v>91</v>
      </c>
    </row>
    <row r="15" spans="1:31" ht="43.5">
      <c r="A15" s="7" t="s">
        <v>46</v>
      </c>
      <c r="B15" s="7" t="s">
        <v>124</v>
      </c>
      <c r="C15" s="7" t="s">
        <v>125</v>
      </c>
      <c r="D15" s="7" t="s">
        <v>117</v>
      </c>
      <c r="E15" s="7" t="s">
        <v>126</v>
      </c>
      <c r="F15" s="7" t="s">
        <v>84</v>
      </c>
      <c r="G15" s="8">
        <v>6500</v>
      </c>
      <c r="H15" s="9">
        <v>2</v>
      </c>
      <c r="I15" s="7" t="s">
        <v>85</v>
      </c>
      <c r="J15" s="7" t="s">
        <v>46</v>
      </c>
      <c r="K15" s="10">
        <f t="shared" si="0"/>
        <v>6500</v>
      </c>
      <c r="L15" s="11">
        <f t="shared" si="1"/>
        <v>2</v>
      </c>
      <c r="M15" s="10">
        <f t="shared" si="2"/>
        <v>6500</v>
      </c>
      <c r="N15" s="11">
        <f t="shared" si="3"/>
        <v>2</v>
      </c>
      <c r="O15" s="3" t="s">
        <v>127</v>
      </c>
      <c r="P15" s="3"/>
      <c r="Q15" s="12" t="s">
        <v>128</v>
      </c>
      <c r="R15" s="12" t="s">
        <v>129</v>
      </c>
      <c r="S15" s="12" t="s">
        <v>89</v>
      </c>
      <c r="T15" s="12">
        <v>1</v>
      </c>
      <c r="U15" s="12" t="s">
        <v>90</v>
      </c>
      <c r="V15" s="18">
        <v>98095.652174000003</v>
      </c>
      <c r="W15" s="10">
        <f t="shared" si="4"/>
        <v>98095.652174000003</v>
      </c>
      <c r="X15" s="11">
        <v>36</v>
      </c>
      <c r="Y15" s="11">
        <f t="shared" si="5"/>
        <v>36</v>
      </c>
      <c r="Z15" s="10">
        <f>IF(Inställningar!$B$5="",0,Inställningar!$B$5)</f>
        <v>850</v>
      </c>
      <c r="AA15" s="10">
        <f t="shared" si="6"/>
        <v>30600</v>
      </c>
      <c r="AB15" s="4">
        <v>0</v>
      </c>
      <c r="AC15" s="13">
        <f>IF(Inställningar!$B$6="",0,Inställningar!$B$6)</f>
        <v>0.15</v>
      </c>
      <c r="AD15" s="10">
        <f t="shared" si="7"/>
        <v>148000</v>
      </c>
      <c r="AE15" s="12" t="s">
        <v>91</v>
      </c>
    </row>
    <row r="16" spans="1:31" ht="43.5">
      <c r="A16" s="7" t="s">
        <v>46</v>
      </c>
      <c r="B16" s="7" t="s">
        <v>124</v>
      </c>
      <c r="C16" s="7" t="s">
        <v>130</v>
      </c>
      <c r="D16" s="7" t="s">
        <v>122</v>
      </c>
      <c r="E16" s="7" t="s">
        <v>126</v>
      </c>
      <c r="F16" s="7" t="s">
        <v>84</v>
      </c>
      <c r="G16" s="8">
        <v>29000</v>
      </c>
      <c r="H16" s="9">
        <v>5</v>
      </c>
      <c r="I16" s="7" t="s">
        <v>85</v>
      </c>
      <c r="J16" s="7" t="s">
        <v>46</v>
      </c>
      <c r="K16" s="10">
        <f t="shared" si="0"/>
        <v>29000</v>
      </c>
      <c r="L16" s="11">
        <f t="shared" si="1"/>
        <v>5</v>
      </c>
      <c r="M16" s="10">
        <f t="shared" si="2"/>
        <v>29000</v>
      </c>
      <c r="N16" s="11">
        <f t="shared" si="3"/>
        <v>5</v>
      </c>
      <c r="O16" s="3" t="s">
        <v>131</v>
      </c>
      <c r="P16" s="3"/>
      <c r="Q16" s="12" t="s">
        <v>132</v>
      </c>
      <c r="R16" s="12" t="s">
        <v>133</v>
      </c>
      <c r="S16" s="12" t="s">
        <v>89</v>
      </c>
      <c r="T16" s="12">
        <v>1</v>
      </c>
      <c r="U16" s="12" t="s">
        <v>90</v>
      </c>
      <c r="V16" s="18">
        <v>27054.347826000001</v>
      </c>
      <c r="W16" s="10">
        <f t="shared" si="4"/>
        <v>27054.347826000001</v>
      </c>
      <c r="X16" s="11">
        <v>5</v>
      </c>
      <c r="Y16" s="11">
        <f t="shared" si="5"/>
        <v>5</v>
      </c>
      <c r="Z16" s="10">
        <f>IF(Inställningar!$B$5="",0,Inställningar!$B$5)</f>
        <v>850</v>
      </c>
      <c r="AA16" s="10">
        <f t="shared" si="6"/>
        <v>4250</v>
      </c>
      <c r="AB16" s="4">
        <v>0</v>
      </c>
      <c r="AC16" s="13">
        <f>IF(Inställningar!$B$6="",0,Inställningar!$B$6)</f>
        <v>0.15</v>
      </c>
      <c r="AD16" s="10">
        <f t="shared" si="7"/>
        <v>36000</v>
      </c>
      <c r="AE16" s="12" t="s">
        <v>91</v>
      </c>
    </row>
    <row r="17" spans="1:31" ht="42.75">
      <c r="A17" s="7" t="s">
        <v>46</v>
      </c>
      <c r="B17" s="7" t="s">
        <v>134</v>
      </c>
      <c r="C17" s="7" t="s">
        <v>114</v>
      </c>
      <c r="D17" s="7" t="s">
        <v>135</v>
      </c>
      <c r="E17" s="7" t="s">
        <v>136</v>
      </c>
      <c r="F17" s="7" t="s">
        <v>84</v>
      </c>
      <c r="G17" s="8">
        <v>0</v>
      </c>
      <c r="H17" s="9">
        <v>0</v>
      </c>
      <c r="I17" s="7" t="s">
        <v>85</v>
      </c>
      <c r="J17" s="7" t="s">
        <v>85</v>
      </c>
      <c r="K17" s="10">
        <f t="shared" si="0"/>
        <v>0</v>
      </c>
      <c r="L17" s="11">
        <f t="shared" si="1"/>
        <v>0</v>
      </c>
      <c r="M17" s="10">
        <f t="shared" si="2"/>
        <v>0</v>
      </c>
      <c r="N17" s="11">
        <f t="shared" si="3"/>
        <v>0</v>
      </c>
      <c r="O17" s="3"/>
      <c r="P17" s="3"/>
      <c r="Q17" s="12" t="s">
        <v>137</v>
      </c>
      <c r="R17" s="12" t="s">
        <v>138</v>
      </c>
      <c r="S17" s="12" t="s">
        <v>89</v>
      </c>
      <c r="T17" s="12">
        <v>1</v>
      </c>
      <c r="U17" s="12" t="s">
        <v>90</v>
      </c>
      <c r="V17" s="18">
        <v>14069.565216999999</v>
      </c>
      <c r="W17" s="10">
        <f t="shared" si="4"/>
        <v>14069.565216999999</v>
      </c>
      <c r="X17" s="11">
        <v>8</v>
      </c>
      <c r="Y17" s="11">
        <f t="shared" si="5"/>
        <v>8</v>
      </c>
      <c r="Z17" s="10">
        <f>IF(Inställningar!$B$5="",0,Inställningar!$B$5)</f>
        <v>850</v>
      </c>
      <c r="AA17" s="10">
        <f t="shared" si="6"/>
        <v>6800</v>
      </c>
      <c r="AB17" s="4">
        <v>0</v>
      </c>
      <c r="AC17" s="13">
        <f>IF(Inställningar!$B$6="",0,Inställningar!$B$6)</f>
        <v>0.15</v>
      </c>
      <c r="AD17" s="10">
        <f t="shared" si="7"/>
        <v>24000</v>
      </c>
      <c r="AE17" s="12" t="s">
        <v>91</v>
      </c>
    </row>
    <row r="18" spans="1:31" ht="43.5">
      <c r="A18" s="7" t="s">
        <v>46</v>
      </c>
      <c r="B18" s="7" t="s">
        <v>134</v>
      </c>
      <c r="C18" s="7" t="s">
        <v>139</v>
      </c>
      <c r="D18" s="7" t="s">
        <v>128</v>
      </c>
      <c r="E18" s="7" t="s">
        <v>136</v>
      </c>
      <c r="F18" s="7" t="s">
        <v>84</v>
      </c>
      <c r="G18" s="8">
        <v>148000</v>
      </c>
      <c r="H18" s="9">
        <v>36</v>
      </c>
      <c r="I18" s="7" t="s">
        <v>85</v>
      </c>
      <c r="J18" s="7" t="s">
        <v>46</v>
      </c>
      <c r="K18" s="10">
        <f t="shared" si="0"/>
        <v>148000</v>
      </c>
      <c r="L18" s="11">
        <f t="shared" si="1"/>
        <v>36</v>
      </c>
      <c r="M18" s="10">
        <f t="shared" si="2"/>
        <v>148000</v>
      </c>
      <c r="N18" s="11">
        <f t="shared" si="3"/>
        <v>36</v>
      </c>
      <c r="O18" s="3" t="s">
        <v>140</v>
      </c>
      <c r="P18" s="3"/>
      <c r="Q18" s="12" t="s">
        <v>141</v>
      </c>
      <c r="R18" s="12" t="s">
        <v>142</v>
      </c>
      <c r="S18" s="12" t="s">
        <v>89</v>
      </c>
      <c r="T18" s="12">
        <v>1</v>
      </c>
      <c r="U18" s="12" t="s">
        <v>90</v>
      </c>
      <c r="V18" s="18">
        <v>23713.043478</v>
      </c>
      <c r="W18" s="10">
        <f t="shared" si="4"/>
        <v>23713.043478</v>
      </c>
      <c r="X18" s="11">
        <v>12</v>
      </c>
      <c r="Y18" s="11">
        <f t="shared" si="5"/>
        <v>12</v>
      </c>
      <c r="Z18" s="10">
        <f>IF(Inställningar!$B$5="",0,Inställningar!$B$5)</f>
        <v>850</v>
      </c>
      <c r="AA18" s="10">
        <f t="shared" si="6"/>
        <v>10200</v>
      </c>
      <c r="AB18" s="4">
        <v>0</v>
      </c>
      <c r="AC18" s="13">
        <f>IF(Inställningar!$B$6="",0,Inställningar!$B$6)</f>
        <v>0.15</v>
      </c>
      <c r="AD18" s="10">
        <f t="shared" si="7"/>
        <v>39000</v>
      </c>
      <c r="AE18" s="12" t="s">
        <v>91</v>
      </c>
    </row>
    <row r="19" spans="1:31" ht="42.75">
      <c r="A19" s="7" t="s">
        <v>46</v>
      </c>
      <c r="B19" s="7" t="s">
        <v>134</v>
      </c>
      <c r="C19" s="7" t="s">
        <v>143</v>
      </c>
      <c r="D19" s="7" t="s">
        <v>144</v>
      </c>
      <c r="E19" s="7" t="s">
        <v>136</v>
      </c>
      <c r="F19" s="7" t="s">
        <v>145</v>
      </c>
      <c r="G19" s="8">
        <v>0</v>
      </c>
      <c r="H19" s="9">
        <v>0</v>
      </c>
      <c r="I19" s="7" t="s">
        <v>46</v>
      </c>
      <c r="J19" s="7" t="s">
        <v>85</v>
      </c>
      <c r="K19" s="10">
        <f t="shared" si="0"/>
        <v>0</v>
      </c>
      <c r="L19" s="11">
        <f t="shared" si="1"/>
        <v>0</v>
      </c>
      <c r="M19" s="10">
        <f t="shared" si="2"/>
        <v>0</v>
      </c>
      <c r="N19" s="11">
        <f t="shared" si="3"/>
        <v>0</v>
      </c>
      <c r="O19" s="3" t="s">
        <v>146</v>
      </c>
      <c r="P19" s="3"/>
      <c r="Q19" s="12" t="s">
        <v>147</v>
      </c>
      <c r="R19" s="12" t="s">
        <v>148</v>
      </c>
      <c r="S19" s="12" t="s">
        <v>89</v>
      </c>
      <c r="T19" s="12">
        <v>1</v>
      </c>
      <c r="U19" s="12" t="s">
        <v>90</v>
      </c>
      <c r="V19" s="18">
        <v>6444.5652170000003</v>
      </c>
      <c r="W19" s="10">
        <f t="shared" si="4"/>
        <v>6444.5652170000003</v>
      </c>
      <c r="X19" s="11">
        <v>0.5</v>
      </c>
      <c r="Y19" s="11">
        <f t="shared" si="5"/>
        <v>0.5</v>
      </c>
      <c r="Z19" s="10">
        <f>IF(Inställningar!$B$5="",0,Inställningar!$B$5)</f>
        <v>850</v>
      </c>
      <c r="AA19" s="10">
        <f t="shared" si="6"/>
        <v>425</v>
      </c>
      <c r="AB19" s="4">
        <v>0</v>
      </c>
      <c r="AC19" s="13">
        <f>IF(Inställningar!$B$6="",0,Inställningar!$B$6)</f>
        <v>0.15</v>
      </c>
      <c r="AD19" s="10">
        <f t="shared" si="7"/>
        <v>7900</v>
      </c>
      <c r="AE19" s="12" t="s">
        <v>91</v>
      </c>
    </row>
    <row r="20" spans="1:31" ht="42.75">
      <c r="A20" s="7" t="s">
        <v>46</v>
      </c>
      <c r="B20" s="7" t="s">
        <v>149</v>
      </c>
      <c r="C20" s="7" t="s">
        <v>114</v>
      </c>
      <c r="D20" s="7" t="s">
        <v>150</v>
      </c>
      <c r="E20" s="7" t="s">
        <v>136</v>
      </c>
      <c r="F20" s="7" t="s">
        <v>84</v>
      </c>
      <c r="G20" s="8">
        <v>0</v>
      </c>
      <c r="H20" s="9">
        <v>0</v>
      </c>
      <c r="I20" s="7" t="s">
        <v>85</v>
      </c>
      <c r="J20" s="7" t="s">
        <v>85</v>
      </c>
      <c r="K20" s="10">
        <f t="shared" si="0"/>
        <v>0</v>
      </c>
      <c r="L20" s="11">
        <f t="shared" si="1"/>
        <v>0</v>
      </c>
      <c r="M20" s="10">
        <f t="shared" si="2"/>
        <v>0</v>
      </c>
      <c r="N20" s="11">
        <f t="shared" si="3"/>
        <v>0</v>
      </c>
      <c r="O20" s="3"/>
      <c r="P20" s="3"/>
      <c r="Q20" s="12" t="s">
        <v>151</v>
      </c>
      <c r="R20" s="12" t="s">
        <v>152</v>
      </c>
      <c r="S20" s="12" t="s">
        <v>89</v>
      </c>
      <c r="T20" s="12">
        <v>1</v>
      </c>
      <c r="U20" s="12" t="s">
        <v>90</v>
      </c>
      <c r="V20" s="18">
        <v>7575</v>
      </c>
      <c r="W20" s="10">
        <f t="shared" si="4"/>
        <v>7575</v>
      </c>
      <c r="X20" s="11">
        <v>0.5</v>
      </c>
      <c r="Y20" s="11">
        <f t="shared" si="5"/>
        <v>0.5</v>
      </c>
      <c r="Z20" s="10">
        <f>IF(Inställningar!$B$5="",0,Inställningar!$B$5)</f>
        <v>850</v>
      </c>
      <c r="AA20" s="10">
        <f t="shared" si="6"/>
        <v>425</v>
      </c>
      <c r="AB20" s="4">
        <v>0</v>
      </c>
      <c r="AC20" s="13">
        <f>IF(Inställningar!$B$6="",0,Inställningar!$B$6)</f>
        <v>0.15</v>
      </c>
      <c r="AD20" s="10">
        <f t="shared" si="7"/>
        <v>9200</v>
      </c>
      <c r="AE20" s="12" t="s">
        <v>91</v>
      </c>
    </row>
    <row r="21" spans="1:31" ht="43.5">
      <c r="A21" s="7" t="s">
        <v>46</v>
      </c>
      <c r="B21" s="7" t="s">
        <v>149</v>
      </c>
      <c r="C21" s="7" t="s">
        <v>153</v>
      </c>
      <c r="D21" s="7" t="s">
        <v>132</v>
      </c>
      <c r="E21" s="7" t="s">
        <v>136</v>
      </c>
      <c r="F21" s="7" t="s">
        <v>84</v>
      </c>
      <c r="G21" s="8">
        <v>36000</v>
      </c>
      <c r="H21" s="9">
        <v>5</v>
      </c>
      <c r="I21" s="7" t="s">
        <v>85</v>
      </c>
      <c r="J21" s="7" t="s">
        <v>46</v>
      </c>
      <c r="K21" s="10">
        <f t="shared" si="0"/>
        <v>36000</v>
      </c>
      <c r="L21" s="11">
        <f t="shared" si="1"/>
        <v>5</v>
      </c>
      <c r="M21" s="10">
        <f t="shared" si="2"/>
        <v>36000</v>
      </c>
      <c r="N21" s="11">
        <f t="shared" si="3"/>
        <v>5</v>
      </c>
      <c r="O21" s="3" t="s">
        <v>154</v>
      </c>
      <c r="P21" s="3"/>
      <c r="Q21" s="12" t="s">
        <v>155</v>
      </c>
      <c r="R21" s="12" t="s">
        <v>156</v>
      </c>
      <c r="S21" s="12" t="s">
        <v>89</v>
      </c>
      <c r="T21" s="12">
        <v>1</v>
      </c>
      <c r="U21" s="12" t="s">
        <v>90</v>
      </c>
      <c r="V21" s="18">
        <v>3227.1739130000001</v>
      </c>
      <c r="W21" s="10">
        <f t="shared" si="4"/>
        <v>3227.1739130000001</v>
      </c>
      <c r="X21" s="11">
        <v>0.5</v>
      </c>
      <c r="Y21" s="11">
        <f t="shared" si="5"/>
        <v>0.5</v>
      </c>
      <c r="Z21" s="10">
        <f>IF(Inställningar!$B$5="",0,Inställningar!$B$5)</f>
        <v>850</v>
      </c>
      <c r="AA21" s="10">
        <f t="shared" si="6"/>
        <v>425</v>
      </c>
      <c r="AB21" s="4">
        <v>0</v>
      </c>
      <c r="AC21" s="13">
        <f>IF(Inställningar!$B$6="",0,Inställningar!$B$6)</f>
        <v>0.15</v>
      </c>
      <c r="AD21" s="10">
        <f t="shared" si="7"/>
        <v>4200</v>
      </c>
      <c r="AE21" s="12" t="s">
        <v>91</v>
      </c>
    </row>
    <row r="22" spans="1:31" ht="42.75">
      <c r="A22" s="7" t="s">
        <v>46</v>
      </c>
      <c r="B22" s="7" t="s">
        <v>100</v>
      </c>
      <c r="C22" s="7" t="s">
        <v>114</v>
      </c>
      <c r="D22" s="7" t="s">
        <v>157</v>
      </c>
      <c r="E22" s="7" t="s">
        <v>158</v>
      </c>
      <c r="F22" s="7" t="s">
        <v>84</v>
      </c>
      <c r="G22" s="8">
        <v>0</v>
      </c>
      <c r="H22" s="9">
        <v>0</v>
      </c>
      <c r="I22" s="7" t="s">
        <v>85</v>
      </c>
      <c r="J22" s="7" t="s">
        <v>85</v>
      </c>
      <c r="K22" s="10">
        <f t="shared" si="0"/>
        <v>0</v>
      </c>
      <c r="L22" s="11">
        <f t="shared" si="1"/>
        <v>0</v>
      </c>
      <c r="M22" s="10">
        <f t="shared" si="2"/>
        <v>0</v>
      </c>
      <c r="N22" s="11">
        <f t="shared" si="3"/>
        <v>0</v>
      </c>
      <c r="O22" s="3"/>
      <c r="P22" s="3"/>
      <c r="Q22" s="12" t="s">
        <v>159</v>
      </c>
      <c r="R22" s="12" t="s">
        <v>160</v>
      </c>
      <c r="S22" s="12" t="s">
        <v>89</v>
      </c>
      <c r="T22" s="12">
        <v>1</v>
      </c>
      <c r="U22" s="12" t="s">
        <v>90</v>
      </c>
      <c r="V22" s="18">
        <v>10986.956522</v>
      </c>
      <c r="W22" s="10">
        <f t="shared" si="4"/>
        <v>10986.956522</v>
      </c>
      <c r="X22" s="11">
        <v>6</v>
      </c>
      <c r="Y22" s="11">
        <f t="shared" si="5"/>
        <v>6</v>
      </c>
      <c r="Z22" s="10">
        <f>IF(Inställningar!$B$5="",0,Inställningar!$B$5)</f>
        <v>850</v>
      </c>
      <c r="AA22" s="10">
        <f t="shared" si="6"/>
        <v>5100</v>
      </c>
      <c r="AB22" s="4">
        <v>0</v>
      </c>
      <c r="AC22" s="13">
        <f>IF(Inställningar!$B$6="",0,Inställningar!$B$6)</f>
        <v>0.15</v>
      </c>
      <c r="AD22" s="10">
        <f t="shared" si="7"/>
        <v>18500</v>
      </c>
      <c r="AE22" s="12" t="s">
        <v>91</v>
      </c>
    </row>
    <row r="23" spans="1:31" ht="43.5">
      <c r="A23" s="7" t="s">
        <v>46</v>
      </c>
      <c r="B23" s="7" t="s">
        <v>100</v>
      </c>
      <c r="C23" s="7" t="s">
        <v>161</v>
      </c>
      <c r="D23" s="7" t="s">
        <v>137</v>
      </c>
      <c r="E23" s="7" t="s">
        <v>158</v>
      </c>
      <c r="F23" s="7" t="s">
        <v>84</v>
      </c>
      <c r="G23" s="8">
        <v>24000</v>
      </c>
      <c r="H23" s="9">
        <v>8</v>
      </c>
      <c r="I23" s="7" t="s">
        <v>85</v>
      </c>
      <c r="J23" s="7" t="s">
        <v>46</v>
      </c>
      <c r="K23" s="10">
        <f t="shared" si="0"/>
        <v>24000</v>
      </c>
      <c r="L23" s="11">
        <f t="shared" si="1"/>
        <v>8</v>
      </c>
      <c r="M23" s="10">
        <f t="shared" si="2"/>
        <v>24000</v>
      </c>
      <c r="N23" s="11">
        <f t="shared" si="3"/>
        <v>8</v>
      </c>
      <c r="O23" s="3" t="s">
        <v>162</v>
      </c>
      <c r="P23" s="3"/>
      <c r="Q23" s="12" t="s">
        <v>163</v>
      </c>
      <c r="R23" s="12" t="s">
        <v>164</v>
      </c>
      <c r="S23" s="12" t="s">
        <v>89</v>
      </c>
      <c r="T23" s="12">
        <v>1</v>
      </c>
      <c r="U23" s="12" t="s">
        <v>90</v>
      </c>
      <c r="V23" s="18">
        <v>18852.173912999999</v>
      </c>
      <c r="W23" s="10">
        <f t="shared" si="4"/>
        <v>18852.173912999999</v>
      </c>
      <c r="X23" s="11">
        <v>8</v>
      </c>
      <c r="Y23" s="11">
        <f t="shared" si="5"/>
        <v>8</v>
      </c>
      <c r="Z23" s="10">
        <f>IF(Inställningar!$B$5="",0,Inställningar!$B$5)</f>
        <v>850</v>
      </c>
      <c r="AA23" s="10">
        <f t="shared" si="6"/>
        <v>6800</v>
      </c>
      <c r="AB23" s="4">
        <v>0</v>
      </c>
      <c r="AC23" s="13">
        <f>IF(Inställningar!$B$6="",0,Inställningar!$B$6)</f>
        <v>0.15</v>
      </c>
      <c r="AD23" s="10">
        <f t="shared" si="7"/>
        <v>29500</v>
      </c>
      <c r="AE23" s="12" t="s">
        <v>91</v>
      </c>
    </row>
    <row r="24" spans="1:31" ht="43.5">
      <c r="A24" s="7" t="s">
        <v>46</v>
      </c>
      <c r="B24" s="7" t="s">
        <v>100</v>
      </c>
      <c r="C24" s="7" t="s">
        <v>165</v>
      </c>
      <c r="D24" s="7" t="s">
        <v>141</v>
      </c>
      <c r="E24" s="7" t="s">
        <v>158</v>
      </c>
      <c r="F24" s="7" t="s">
        <v>84</v>
      </c>
      <c r="G24" s="8">
        <v>39000</v>
      </c>
      <c r="H24" s="9">
        <v>12</v>
      </c>
      <c r="I24" s="7" t="s">
        <v>85</v>
      </c>
      <c r="J24" s="7" t="s">
        <v>46</v>
      </c>
      <c r="K24" s="10">
        <f t="shared" si="0"/>
        <v>39000</v>
      </c>
      <c r="L24" s="11">
        <f t="shared" si="1"/>
        <v>12</v>
      </c>
      <c r="M24" s="10">
        <f t="shared" si="2"/>
        <v>39000</v>
      </c>
      <c r="N24" s="11">
        <f t="shared" si="3"/>
        <v>12</v>
      </c>
      <c r="O24" s="3" t="s">
        <v>166</v>
      </c>
      <c r="P24" s="3"/>
      <c r="Q24" s="12" t="s">
        <v>167</v>
      </c>
      <c r="R24" s="12" t="s">
        <v>168</v>
      </c>
      <c r="S24" s="12" t="s">
        <v>89</v>
      </c>
      <c r="T24" s="12">
        <v>1</v>
      </c>
      <c r="U24" s="12" t="s">
        <v>90</v>
      </c>
      <c r="V24" s="18">
        <v>29800</v>
      </c>
      <c r="W24" s="10">
        <f t="shared" si="4"/>
        <v>29800</v>
      </c>
      <c r="X24" s="11">
        <v>12</v>
      </c>
      <c r="Y24" s="11">
        <f t="shared" si="5"/>
        <v>12</v>
      </c>
      <c r="Z24" s="10">
        <f>IF(Inställningar!$B$5="",0,Inställningar!$B$5)</f>
        <v>850</v>
      </c>
      <c r="AA24" s="10">
        <f t="shared" si="6"/>
        <v>10200</v>
      </c>
      <c r="AB24" s="4">
        <v>0</v>
      </c>
      <c r="AC24" s="13">
        <f>IF(Inställningar!$B$6="",0,Inställningar!$B$6)</f>
        <v>0.15</v>
      </c>
      <c r="AD24" s="10">
        <f t="shared" si="7"/>
        <v>46000</v>
      </c>
      <c r="AE24" s="12" t="s">
        <v>91</v>
      </c>
    </row>
    <row r="25" spans="1:31" ht="42.75">
      <c r="A25" s="7" t="s">
        <v>46</v>
      </c>
      <c r="B25" s="7" t="s">
        <v>100</v>
      </c>
      <c r="C25" s="7" t="s">
        <v>169</v>
      </c>
      <c r="D25" s="7" t="s">
        <v>170</v>
      </c>
      <c r="E25" s="7" t="s">
        <v>158</v>
      </c>
      <c r="F25" s="7" t="s">
        <v>145</v>
      </c>
      <c r="G25" s="8">
        <v>0</v>
      </c>
      <c r="H25" s="9">
        <v>0</v>
      </c>
      <c r="I25" s="7" t="s">
        <v>46</v>
      </c>
      <c r="J25" s="7" t="s">
        <v>85</v>
      </c>
      <c r="K25" s="10">
        <f t="shared" si="0"/>
        <v>0</v>
      </c>
      <c r="L25" s="11">
        <f t="shared" si="1"/>
        <v>0</v>
      </c>
      <c r="M25" s="10">
        <f t="shared" si="2"/>
        <v>0</v>
      </c>
      <c r="N25" s="11">
        <f t="shared" si="3"/>
        <v>0</v>
      </c>
      <c r="O25" s="3" t="s">
        <v>171</v>
      </c>
      <c r="P25" s="3"/>
      <c r="Q25" s="12" t="s">
        <v>172</v>
      </c>
      <c r="R25" s="12" t="s">
        <v>173</v>
      </c>
      <c r="S25" s="12" t="s">
        <v>89</v>
      </c>
      <c r="T25" s="12">
        <v>1</v>
      </c>
      <c r="U25" s="12" t="s">
        <v>90</v>
      </c>
      <c r="V25" s="18">
        <v>22765.217390999998</v>
      </c>
      <c r="W25" s="10">
        <f t="shared" si="4"/>
        <v>22765.217390999998</v>
      </c>
      <c r="X25" s="11">
        <v>8</v>
      </c>
      <c r="Y25" s="11">
        <f t="shared" si="5"/>
        <v>8</v>
      </c>
      <c r="Z25" s="10">
        <f>IF(Inställningar!$B$5="",0,Inställningar!$B$5)</f>
        <v>850</v>
      </c>
      <c r="AA25" s="10">
        <f t="shared" si="6"/>
        <v>6800</v>
      </c>
      <c r="AB25" s="4">
        <v>0</v>
      </c>
      <c r="AC25" s="13">
        <f>IF(Inställningar!$B$6="",0,Inställningar!$B$6)</f>
        <v>0.15</v>
      </c>
      <c r="AD25" s="10">
        <f t="shared" si="7"/>
        <v>34000</v>
      </c>
      <c r="AE25" s="12" t="s">
        <v>91</v>
      </c>
    </row>
    <row r="26" spans="1:31" ht="43.5">
      <c r="A26" s="7" t="s">
        <v>46</v>
      </c>
      <c r="B26" s="7" t="s">
        <v>174</v>
      </c>
      <c r="C26" s="7" t="s">
        <v>175</v>
      </c>
      <c r="D26" s="7" t="s">
        <v>147</v>
      </c>
      <c r="E26" s="7" t="s">
        <v>176</v>
      </c>
      <c r="F26" s="7" t="s">
        <v>30</v>
      </c>
      <c r="G26" s="8">
        <v>7900</v>
      </c>
      <c r="H26" s="9">
        <v>0.5</v>
      </c>
      <c r="I26" s="7" t="s">
        <v>85</v>
      </c>
      <c r="J26" s="7" t="s">
        <v>46</v>
      </c>
      <c r="K26" s="10">
        <f t="shared" si="0"/>
        <v>7900</v>
      </c>
      <c r="L26" s="11">
        <f t="shared" si="1"/>
        <v>0.5</v>
      </c>
      <c r="M26" s="10">
        <f t="shared" si="2"/>
        <v>7900</v>
      </c>
      <c r="N26" s="11">
        <f t="shared" si="3"/>
        <v>0.5</v>
      </c>
      <c r="O26" s="3" t="s">
        <v>177</v>
      </c>
      <c r="P26" s="3"/>
      <c r="Q26" s="12" t="s">
        <v>178</v>
      </c>
      <c r="R26" s="12" t="s">
        <v>179</v>
      </c>
      <c r="S26" s="12" t="s">
        <v>89</v>
      </c>
      <c r="T26" s="12">
        <v>1</v>
      </c>
      <c r="U26" s="12" t="s">
        <v>90</v>
      </c>
      <c r="V26" s="18">
        <v>35017.391303999997</v>
      </c>
      <c r="W26" s="10">
        <f t="shared" si="4"/>
        <v>35017.391303999997</v>
      </c>
      <c r="X26" s="11">
        <v>12</v>
      </c>
      <c r="Y26" s="11">
        <f t="shared" si="5"/>
        <v>12</v>
      </c>
      <c r="Z26" s="10">
        <f>IF(Inställningar!$B$5="",0,Inställningar!$B$5)</f>
        <v>850</v>
      </c>
      <c r="AA26" s="10">
        <f t="shared" si="6"/>
        <v>10200</v>
      </c>
      <c r="AB26" s="4">
        <v>0</v>
      </c>
      <c r="AC26" s="13">
        <f>IF(Inställningar!$B$6="",0,Inställningar!$B$6)</f>
        <v>0.15</v>
      </c>
      <c r="AD26" s="10">
        <f t="shared" si="7"/>
        <v>52000</v>
      </c>
      <c r="AE26" s="12" t="s">
        <v>91</v>
      </c>
    </row>
    <row r="27" spans="1:31" ht="43.5">
      <c r="A27" s="7" t="s">
        <v>46</v>
      </c>
      <c r="B27" s="7" t="s">
        <v>174</v>
      </c>
      <c r="C27" s="7" t="s">
        <v>180</v>
      </c>
      <c r="D27" s="7" t="s">
        <v>151</v>
      </c>
      <c r="E27" s="7" t="s">
        <v>176</v>
      </c>
      <c r="F27" s="7" t="s">
        <v>30</v>
      </c>
      <c r="G27" s="8">
        <v>9200</v>
      </c>
      <c r="H27" s="9">
        <v>0.5</v>
      </c>
      <c r="I27" s="7" t="s">
        <v>85</v>
      </c>
      <c r="J27" s="7" t="s">
        <v>46</v>
      </c>
      <c r="K27" s="10">
        <f t="shared" si="0"/>
        <v>9200</v>
      </c>
      <c r="L27" s="11">
        <f t="shared" si="1"/>
        <v>0.5</v>
      </c>
      <c r="M27" s="10">
        <f t="shared" si="2"/>
        <v>9200</v>
      </c>
      <c r="N27" s="11">
        <f t="shared" si="3"/>
        <v>0.5</v>
      </c>
      <c r="O27" s="3" t="s">
        <v>181</v>
      </c>
      <c r="P27" s="3"/>
      <c r="Q27" s="12" t="s">
        <v>182</v>
      </c>
      <c r="R27" s="12" t="s">
        <v>183</v>
      </c>
      <c r="S27" s="12" t="s">
        <v>89</v>
      </c>
      <c r="T27" s="12">
        <v>1</v>
      </c>
      <c r="U27" s="12" t="s">
        <v>90</v>
      </c>
      <c r="V27" s="18">
        <v>53395.652174000003</v>
      </c>
      <c r="W27" s="10">
        <f t="shared" si="4"/>
        <v>53395.652174000003</v>
      </c>
      <c r="X27" s="11">
        <v>18</v>
      </c>
      <c r="Y27" s="11">
        <f t="shared" si="5"/>
        <v>18</v>
      </c>
      <c r="Z27" s="10">
        <f>IF(Inställningar!$B$5="",0,Inställningar!$B$5)</f>
        <v>850</v>
      </c>
      <c r="AA27" s="10">
        <f t="shared" si="6"/>
        <v>15300</v>
      </c>
      <c r="AB27" s="4">
        <v>0</v>
      </c>
      <c r="AC27" s="13">
        <f>IF(Inställningar!$B$6="",0,Inställningar!$B$6)</f>
        <v>0.15</v>
      </c>
      <c r="AD27" s="10">
        <f t="shared" si="7"/>
        <v>79000</v>
      </c>
      <c r="AE27" s="12" t="s">
        <v>91</v>
      </c>
    </row>
    <row r="28" spans="1:31" ht="43.5">
      <c r="A28" s="7" t="s">
        <v>46</v>
      </c>
      <c r="B28" s="7" t="s">
        <v>174</v>
      </c>
      <c r="C28" s="7" t="s">
        <v>184</v>
      </c>
      <c r="D28" s="7" t="s">
        <v>155</v>
      </c>
      <c r="E28" s="7" t="s">
        <v>176</v>
      </c>
      <c r="F28" s="7" t="s">
        <v>30</v>
      </c>
      <c r="G28" s="8">
        <v>4200</v>
      </c>
      <c r="H28" s="9">
        <v>0.5</v>
      </c>
      <c r="I28" s="7" t="s">
        <v>85</v>
      </c>
      <c r="J28" s="7" t="s">
        <v>46</v>
      </c>
      <c r="K28" s="10">
        <f t="shared" si="0"/>
        <v>4200</v>
      </c>
      <c r="L28" s="11">
        <f t="shared" si="1"/>
        <v>0.5</v>
      </c>
      <c r="M28" s="10">
        <f t="shared" si="2"/>
        <v>4200</v>
      </c>
      <c r="N28" s="11">
        <f t="shared" si="3"/>
        <v>0.5</v>
      </c>
      <c r="O28" s="3" t="s">
        <v>185</v>
      </c>
      <c r="P28" s="3"/>
      <c r="Q28" s="12" t="s">
        <v>186</v>
      </c>
      <c r="R28" s="12" t="s">
        <v>187</v>
      </c>
      <c r="S28" s="12" t="s">
        <v>89</v>
      </c>
      <c r="T28" s="12">
        <v>1</v>
      </c>
      <c r="U28" s="12" t="s">
        <v>90</v>
      </c>
      <c r="V28" s="18">
        <v>7034.7826089999999</v>
      </c>
      <c r="W28" s="10">
        <f t="shared" si="4"/>
        <v>7034.7826089999999</v>
      </c>
      <c r="X28" s="11">
        <v>4</v>
      </c>
      <c r="Y28" s="11">
        <f t="shared" si="5"/>
        <v>4</v>
      </c>
      <c r="Z28" s="10">
        <f>IF(Inställningar!$B$5="",0,Inställningar!$B$5)</f>
        <v>850</v>
      </c>
      <c r="AA28" s="10">
        <f t="shared" si="6"/>
        <v>3400</v>
      </c>
      <c r="AB28" s="4">
        <v>0</v>
      </c>
      <c r="AC28" s="13">
        <f>IF(Inställningar!$B$6="",0,Inställningar!$B$6)</f>
        <v>0.15</v>
      </c>
      <c r="AD28" s="10">
        <f t="shared" si="7"/>
        <v>12000</v>
      </c>
      <c r="AE28" s="12" t="s">
        <v>91</v>
      </c>
    </row>
    <row r="29" spans="1:31" ht="15">
      <c r="A29" s="7" t="s">
        <v>46</v>
      </c>
      <c r="B29" s="7" t="s">
        <v>174</v>
      </c>
      <c r="C29" s="7" t="s">
        <v>188</v>
      </c>
      <c r="D29" s="7" t="s">
        <v>159</v>
      </c>
      <c r="E29" s="7" t="s">
        <v>189</v>
      </c>
      <c r="F29" s="7" t="s">
        <v>30</v>
      </c>
      <c r="G29" s="8">
        <v>18500</v>
      </c>
      <c r="H29" s="9">
        <v>6</v>
      </c>
      <c r="I29" s="7" t="s">
        <v>85</v>
      </c>
      <c r="J29" s="7" t="s">
        <v>46</v>
      </c>
      <c r="K29" s="10">
        <f t="shared" si="0"/>
        <v>18500</v>
      </c>
      <c r="L29" s="11">
        <f t="shared" si="1"/>
        <v>6</v>
      </c>
      <c r="M29" s="10">
        <f t="shared" si="2"/>
        <v>18500</v>
      </c>
      <c r="N29" s="11">
        <f t="shared" si="3"/>
        <v>6</v>
      </c>
      <c r="O29" s="3" t="s">
        <v>190</v>
      </c>
      <c r="P29" s="3"/>
      <c r="Q29" s="12"/>
      <c r="R29" s="12"/>
      <c r="S29" s="12"/>
      <c r="T29" s="12"/>
      <c r="U29" s="12"/>
      <c r="V29" s="18"/>
      <c r="W29" s="10">
        <f t="shared" si="4"/>
        <v>0</v>
      </c>
      <c r="X29" s="11"/>
      <c r="Y29" s="11">
        <f t="shared" si="5"/>
        <v>0</v>
      </c>
      <c r="Z29" s="10">
        <f>IF(Inställningar!$B$5="",0,Inställningar!$B$5)</f>
        <v>850</v>
      </c>
      <c r="AA29" s="10">
        <f t="shared" si="6"/>
        <v>0</v>
      </c>
      <c r="AB29" s="4"/>
      <c r="AC29" s="13">
        <f>IF(Inställningar!$B$6="",0,Inställningar!$B$6)</f>
        <v>0.15</v>
      </c>
      <c r="AD29" s="10">
        <f t="shared" si="7"/>
        <v>0</v>
      </c>
      <c r="AE29" s="12"/>
    </row>
    <row r="30" spans="1:31" ht="15">
      <c r="A30" s="7" t="s">
        <v>46</v>
      </c>
      <c r="B30" s="7" t="s">
        <v>174</v>
      </c>
      <c r="C30" s="7" t="s">
        <v>191</v>
      </c>
      <c r="D30" s="7" t="s">
        <v>163</v>
      </c>
      <c r="E30" s="7" t="s">
        <v>189</v>
      </c>
      <c r="F30" s="7" t="s">
        <v>30</v>
      </c>
      <c r="G30" s="8">
        <v>29500</v>
      </c>
      <c r="H30" s="9">
        <v>8</v>
      </c>
      <c r="I30" s="7" t="s">
        <v>85</v>
      </c>
      <c r="J30" s="7" t="s">
        <v>46</v>
      </c>
      <c r="K30" s="10">
        <f t="shared" si="0"/>
        <v>29500</v>
      </c>
      <c r="L30" s="11">
        <f t="shared" si="1"/>
        <v>8</v>
      </c>
      <c r="M30" s="10">
        <f t="shared" si="2"/>
        <v>29500</v>
      </c>
      <c r="N30" s="11">
        <f t="shared" si="3"/>
        <v>8</v>
      </c>
      <c r="O30" s="3" t="s">
        <v>192</v>
      </c>
      <c r="P30" s="3"/>
      <c r="Q30" s="12"/>
      <c r="R30" s="12"/>
      <c r="S30" s="12"/>
      <c r="T30" s="12"/>
      <c r="U30" s="12"/>
      <c r="V30" s="18"/>
      <c r="W30" s="10">
        <f t="shared" si="4"/>
        <v>0</v>
      </c>
      <c r="X30" s="11"/>
      <c r="Y30" s="11">
        <f t="shared" si="5"/>
        <v>0</v>
      </c>
      <c r="Z30" s="10">
        <f>IF(Inställningar!$B$5="",0,Inställningar!$B$5)</f>
        <v>850</v>
      </c>
      <c r="AA30" s="10">
        <f t="shared" si="6"/>
        <v>0</v>
      </c>
      <c r="AB30" s="4"/>
      <c r="AC30" s="13">
        <f>IF(Inställningar!$B$6="",0,Inställningar!$B$6)</f>
        <v>0.15</v>
      </c>
      <c r="AD30" s="10">
        <f t="shared" si="7"/>
        <v>0</v>
      </c>
      <c r="AE30" s="12"/>
    </row>
    <row r="31" spans="1:31" ht="15">
      <c r="A31" s="7" t="s">
        <v>46</v>
      </c>
      <c r="B31" s="7" t="s">
        <v>174</v>
      </c>
      <c r="C31" s="7" t="s">
        <v>193</v>
      </c>
      <c r="D31" s="7" t="s">
        <v>167</v>
      </c>
      <c r="E31" s="7" t="s">
        <v>189</v>
      </c>
      <c r="F31" s="7" t="s">
        <v>30</v>
      </c>
      <c r="G31" s="8">
        <v>46000</v>
      </c>
      <c r="H31" s="9">
        <v>12</v>
      </c>
      <c r="I31" s="7" t="s">
        <v>85</v>
      </c>
      <c r="J31" s="7" t="s">
        <v>46</v>
      </c>
      <c r="K31" s="10">
        <f t="shared" si="0"/>
        <v>46000</v>
      </c>
      <c r="L31" s="11">
        <f t="shared" si="1"/>
        <v>12</v>
      </c>
      <c r="M31" s="10">
        <f t="shared" si="2"/>
        <v>46000</v>
      </c>
      <c r="N31" s="11">
        <f t="shared" si="3"/>
        <v>12</v>
      </c>
      <c r="O31" s="3" t="s">
        <v>194</v>
      </c>
      <c r="P31" s="3"/>
      <c r="Q31" s="12"/>
      <c r="R31" s="12"/>
      <c r="S31" s="12"/>
      <c r="T31" s="12"/>
      <c r="U31" s="12"/>
      <c r="V31" s="18"/>
      <c r="W31" s="10">
        <f t="shared" si="4"/>
        <v>0</v>
      </c>
      <c r="X31" s="11"/>
      <c r="Y31" s="11">
        <f t="shared" si="5"/>
        <v>0</v>
      </c>
      <c r="Z31" s="10">
        <f>IF(Inställningar!$B$5="",0,Inställningar!$B$5)</f>
        <v>850</v>
      </c>
      <c r="AA31" s="10">
        <f t="shared" si="6"/>
        <v>0</v>
      </c>
      <c r="AB31" s="4"/>
      <c r="AC31" s="13">
        <f>IF(Inställningar!$B$6="",0,Inställningar!$B$6)</f>
        <v>0.15</v>
      </c>
      <c r="AD31" s="10">
        <f t="shared" si="7"/>
        <v>0</v>
      </c>
      <c r="AE31" s="12"/>
    </row>
    <row r="32" spans="1:31" ht="15">
      <c r="A32" s="7" t="s">
        <v>46</v>
      </c>
      <c r="B32" s="7" t="s">
        <v>96</v>
      </c>
      <c r="C32" s="7" t="s">
        <v>195</v>
      </c>
      <c r="D32" s="7" t="s">
        <v>172</v>
      </c>
      <c r="E32" s="7" t="s">
        <v>196</v>
      </c>
      <c r="F32" s="7" t="s">
        <v>84</v>
      </c>
      <c r="G32" s="8">
        <v>34000</v>
      </c>
      <c r="H32" s="9">
        <v>8</v>
      </c>
      <c r="I32" s="7" t="s">
        <v>85</v>
      </c>
      <c r="J32" s="7" t="s">
        <v>46</v>
      </c>
      <c r="K32" s="10">
        <f t="shared" si="0"/>
        <v>34000</v>
      </c>
      <c r="L32" s="11">
        <f t="shared" si="1"/>
        <v>8</v>
      </c>
      <c r="M32" s="10">
        <f t="shared" si="2"/>
        <v>34000</v>
      </c>
      <c r="N32" s="11">
        <f t="shared" si="3"/>
        <v>8</v>
      </c>
      <c r="O32" s="3" t="s">
        <v>197</v>
      </c>
      <c r="P32" s="3"/>
      <c r="Q32" s="12"/>
      <c r="R32" s="12"/>
      <c r="S32" s="12"/>
      <c r="T32" s="12"/>
      <c r="U32" s="12"/>
      <c r="V32" s="18"/>
      <c r="W32" s="10">
        <f t="shared" si="4"/>
        <v>0</v>
      </c>
      <c r="X32" s="11"/>
      <c r="Y32" s="11">
        <f t="shared" si="5"/>
        <v>0</v>
      </c>
      <c r="Z32" s="10">
        <f>IF(Inställningar!$B$5="",0,Inställningar!$B$5)</f>
        <v>850</v>
      </c>
      <c r="AA32" s="10">
        <f t="shared" si="6"/>
        <v>0</v>
      </c>
      <c r="AB32" s="4"/>
      <c r="AC32" s="13">
        <f>IF(Inställningar!$B$6="",0,Inställningar!$B$6)</f>
        <v>0.15</v>
      </c>
      <c r="AD32" s="10">
        <f t="shared" si="7"/>
        <v>0</v>
      </c>
      <c r="AE32" s="12"/>
    </row>
    <row r="33" spans="1:31" ht="15">
      <c r="A33" s="7" t="s">
        <v>46</v>
      </c>
      <c r="B33" s="7" t="s">
        <v>96</v>
      </c>
      <c r="C33" s="7" t="s">
        <v>198</v>
      </c>
      <c r="D33" s="7" t="s">
        <v>178</v>
      </c>
      <c r="E33" s="7" t="s">
        <v>196</v>
      </c>
      <c r="F33" s="7" t="s">
        <v>84</v>
      </c>
      <c r="G33" s="8">
        <v>52000</v>
      </c>
      <c r="H33" s="9">
        <v>12</v>
      </c>
      <c r="I33" s="7" t="s">
        <v>85</v>
      </c>
      <c r="J33" s="7" t="s">
        <v>46</v>
      </c>
      <c r="K33" s="10">
        <f t="shared" si="0"/>
        <v>52000</v>
      </c>
      <c r="L33" s="11">
        <f t="shared" si="1"/>
        <v>12</v>
      </c>
      <c r="M33" s="10">
        <f t="shared" si="2"/>
        <v>52000</v>
      </c>
      <c r="N33" s="11">
        <f t="shared" si="3"/>
        <v>12</v>
      </c>
      <c r="O33" s="3" t="s">
        <v>199</v>
      </c>
      <c r="P33" s="3"/>
      <c r="Q33" s="12"/>
      <c r="R33" s="12"/>
      <c r="S33" s="12"/>
      <c r="T33" s="12"/>
      <c r="U33" s="12"/>
      <c r="V33" s="18"/>
      <c r="W33" s="10">
        <f t="shared" si="4"/>
        <v>0</v>
      </c>
      <c r="X33" s="11"/>
      <c r="Y33" s="11">
        <f t="shared" si="5"/>
        <v>0</v>
      </c>
      <c r="Z33" s="10">
        <f>IF(Inställningar!$B$5="",0,Inställningar!$B$5)</f>
        <v>850</v>
      </c>
      <c r="AA33" s="10">
        <f t="shared" si="6"/>
        <v>0</v>
      </c>
      <c r="AB33" s="4"/>
      <c r="AC33" s="13">
        <f>IF(Inställningar!$B$6="",0,Inställningar!$B$6)</f>
        <v>0.15</v>
      </c>
      <c r="AD33" s="10">
        <f t="shared" si="7"/>
        <v>0</v>
      </c>
      <c r="AE33" s="12"/>
    </row>
    <row r="34" spans="1:31" ht="15">
      <c r="A34" s="7" t="s">
        <v>46</v>
      </c>
      <c r="B34" s="7" t="s">
        <v>96</v>
      </c>
      <c r="C34" s="7" t="s">
        <v>200</v>
      </c>
      <c r="D34" s="7" t="s">
        <v>182</v>
      </c>
      <c r="E34" s="7" t="s">
        <v>196</v>
      </c>
      <c r="F34" s="7" t="s">
        <v>84</v>
      </c>
      <c r="G34" s="8">
        <v>79000</v>
      </c>
      <c r="H34" s="9">
        <v>18</v>
      </c>
      <c r="I34" s="7" t="s">
        <v>85</v>
      </c>
      <c r="J34" s="7" t="s">
        <v>46</v>
      </c>
      <c r="K34" s="10">
        <f t="shared" si="0"/>
        <v>79000</v>
      </c>
      <c r="L34" s="11">
        <f t="shared" si="1"/>
        <v>18</v>
      </c>
      <c r="M34" s="10">
        <f t="shared" si="2"/>
        <v>79000</v>
      </c>
      <c r="N34" s="11">
        <f t="shared" si="3"/>
        <v>18</v>
      </c>
      <c r="O34" s="3" t="s">
        <v>201</v>
      </c>
      <c r="P34" s="3"/>
      <c r="Q34" s="12"/>
      <c r="R34" s="12"/>
      <c r="S34" s="12"/>
      <c r="T34" s="12"/>
      <c r="U34" s="12"/>
      <c r="V34" s="18"/>
      <c r="W34" s="10">
        <f t="shared" si="4"/>
        <v>0</v>
      </c>
      <c r="X34" s="11"/>
      <c r="Y34" s="11">
        <f t="shared" si="5"/>
        <v>0</v>
      </c>
      <c r="Z34" s="10">
        <f>IF(Inställningar!$B$5="",0,Inställningar!$B$5)</f>
        <v>850</v>
      </c>
      <c r="AA34" s="10">
        <f t="shared" si="6"/>
        <v>0</v>
      </c>
      <c r="AB34" s="4"/>
      <c r="AC34" s="13">
        <f>IF(Inställningar!$B$6="",0,Inställningar!$B$6)</f>
        <v>0.15</v>
      </c>
      <c r="AD34" s="10">
        <f t="shared" si="7"/>
        <v>0</v>
      </c>
      <c r="AE34" s="12"/>
    </row>
    <row r="35" spans="1:31">
      <c r="A35" s="7" t="s">
        <v>46</v>
      </c>
      <c r="B35" s="7" t="s">
        <v>96</v>
      </c>
      <c r="C35" s="7" t="s">
        <v>202</v>
      </c>
      <c r="D35" s="7" t="s">
        <v>203</v>
      </c>
      <c r="E35" s="7" t="s">
        <v>196</v>
      </c>
      <c r="F35" s="7" t="s">
        <v>145</v>
      </c>
      <c r="G35" s="8">
        <v>0</v>
      </c>
      <c r="H35" s="9">
        <v>0</v>
      </c>
      <c r="I35" s="7" t="s">
        <v>46</v>
      </c>
      <c r="J35" s="7" t="s">
        <v>85</v>
      </c>
      <c r="K35" s="10">
        <f t="shared" si="0"/>
        <v>0</v>
      </c>
      <c r="L35" s="11">
        <f t="shared" si="1"/>
        <v>0</v>
      </c>
      <c r="M35" s="10">
        <f t="shared" si="2"/>
        <v>0</v>
      </c>
      <c r="N35" s="11">
        <f t="shared" si="3"/>
        <v>0</v>
      </c>
      <c r="O35" s="3" t="s">
        <v>204</v>
      </c>
      <c r="P35" s="3"/>
      <c r="Q35" s="12"/>
      <c r="R35" s="12"/>
      <c r="S35" s="12"/>
      <c r="T35" s="12"/>
      <c r="U35" s="12"/>
      <c r="V35" s="18"/>
      <c r="W35" s="10">
        <f t="shared" si="4"/>
        <v>0</v>
      </c>
      <c r="X35" s="11"/>
      <c r="Y35" s="11">
        <f t="shared" si="5"/>
        <v>0</v>
      </c>
      <c r="Z35" s="10">
        <f>IF(Inställningar!$B$5="",0,Inställningar!$B$5)</f>
        <v>850</v>
      </c>
      <c r="AA35" s="10">
        <f t="shared" si="6"/>
        <v>0</v>
      </c>
      <c r="AB35" s="4"/>
      <c r="AC35" s="13">
        <f>IF(Inställningar!$B$6="",0,Inställningar!$B$6)</f>
        <v>0.15</v>
      </c>
      <c r="AD35" s="10">
        <f t="shared" si="7"/>
        <v>0</v>
      </c>
      <c r="AE35" s="12"/>
    </row>
    <row r="36" spans="1:31" ht="28.5">
      <c r="A36" s="7" t="s">
        <v>46</v>
      </c>
      <c r="B36" s="7" t="s">
        <v>205</v>
      </c>
      <c r="C36" s="7" t="s">
        <v>206</v>
      </c>
      <c r="D36" s="7" t="s">
        <v>207</v>
      </c>
      <c r="E36" s="7" t="s">
        <v>208</v>
      </c>
      <c r="F36" s="7" t="s">
        <v>209</v>
      </c>
      <c r="G36" s="8">
        <v>0</v>
      </c>
      <c r="H36" s="9">
        <v>0</v>
      </c>
      <c r="I36" s="7" t="s">
        <v>85</v>
      </c>
      <c r="J36" s="7" t="s">
        <v>85</v>
      </c>
      <c r="K36" s="10">
        <f t="shared" si="0"/>
        <v>0</v>
      </c>
      <c r="L36" s="11">
        <f t="shared" si="1"/>
        <v>0</v>
      </c>
      <c r="M36" s="10">
        <f t="shared" si="2"/>
        <v>0</v>
      </c>
      <c r="N36" s="11">
        <f t="shared" si="3"/>
        <v>0</v>
      </c>
      <c r="O36" s="3" t="s">
        <v>210</v>
      </c>
      <c r="P36" s="3"/>
      <c r="Q36" s="12"/>
      <c r="R36" s="12"/>
      <c r="S36" s="12"/>
      <c r="T36" s="12"/>
      <c r="U36" s="12"/>
      <c r="V36" s="18"/>
      <c r="W36" s="10">
        <f t="shared" si="4"/>
        <v>0</v>
      </c>
      <c r="X36" s="11"/>
      <c r="Y36" s="11">
        <f t="shared" si="5"/>
        <v>0</v>
      </c>
      <c r="Z36" s="10">
        <f>IF(Inställningar!$B$5="",0,Inställningar!$B$5)</f>
        <v>850</v>
      </c>
      <c r="AA36" s="10">
        <f t="shared" si="6"/>
        <v>0</v>
      </c>
      <c r="AB36" s="4"/>
      <c r="AC36" s="13">
        <f>IF(Inställningar!$B$6="",0,Inställningar!$B$6)</f>
        <v>0.15</v>
      </c>
      <c r="AD36" s="10">
        <f t="shared" si="7"/>
        <v>0</v>
      </c>
      <c r="AE36" s="12"/>
    </row>
    <row r="37" spans="1:31" ht="28.5">
      <c r="A37" s="7" t="s">
        <v>46</v>
      </c>
      <c r="B37" s="7" t="s">
        <v>205</v>
      </c>
      <c r="C37" s="7" t="s">
        <v>211</v>
      </c>
      <c r="D37" s="7" t="s">
        <v>212</v>
      </c>
      <c r="E37" s="7" t="s">
        <v>208</v>
      </c>
      <c r="F37" s="7" t="s">
        <v>209</v>
      </c>
      <c r="G37" s="8">
        <v>0</v>
      </c>
      <c r="H37" s="9">
        <v>0</v>
      </c>
      <c r="I37" s="7" t="s">
        <v>85</v>
      </c>
      <c r="J37" s="7" t="s">
        <v>85</v>
      </c>
      <c r="K37" s="10">
        <f t="shared" si="0"/>
        <v>0</v>
      </c>
      <c r="L37" s="11">
        <f t="shared" si="1"/>
        <v>0</v>
      </c>
      <c r="M37" s="10">
        <f t="shared" si="2"/>
        <v>0</v>
      </c>
      <c r="N37" s="11">
        <f t="shared" si="3"/>
        <v>0</v>
      </c>
      <c r="O37" s="3" t="s">
        <v>213</v>
      </c>
      <c r="P37" s="3"/>
      <c r="Q37" s="12"/>
      <c r="R37" s="12"/>
      <c r="S37" s="12"/>
      <c r="T37" s="12"/>
      <c r="U37" s="12"/>
      <c r="V37" s="18"/>
      <c r="W37" s="10">
        <f t="shared" si="4"/>
        <v>0</v>
      </c>
      <c r="X37" s="11"/>
      <c r="Y37" s="11">
        <f t="shared" si="5"/>
        <v>0</v>
      </c>
      <c r="Z37" s="10">
        <f>IF(Inställningar!$B$5="",0,Inställningar!$B$5)</f>
        <v>850</v>
      </c>
      <c r="AA37" s="10">
        <f t="shared" si="6"/>
        <v>0</v>
      </c>
      <c r="AB37" s="4"/>
      <c r="AC37" s="13">
        <f>IF(Inställningar!$B$6="",0,Inställningar!$B$6)</f>
        <v>0.15</v>
      </c>
      <c r="AD37" s="10">
        <f t="shared" si="7"/>
        <v>0</v>
      </c>
      <c r="AE37" s="12"/>
    </row>
    <row r="38" spans="1:31" ht="28.5">
      <c r="A38" s="7" t="s">
        <v>46</v>
      </c>
      <c r="B38" s="7" t="s">
        <v>205</v>
      </c>
      <c r="C38" s="7" t="s">
        <v>214</v>
      </c>
      <c r="D38" s="7" t="s">
        <v>215</v>
      </c>
      <c r="E38" s="7" t="s">
        <v>208</v>
      </c>
      <c r="F38" s="7" t="s">
        <v>209</v>
      </c>
      <c r="G38" s="8">
        <v>0</v>
      </c>
      <c r="H38" s="9">
        <v>0</v>
      </c>
      <c r="I38" s="7" t="s">
        <v>85</v>
      </c>
      <c r="J38" s="7" t="s">
        <v>85</v>
      </c>
      <c r="K38" s="10">
        <f t="shared" si="0"/>
        <v>0</v>
      </c>
      <c r="L38" s="11">
        <f t="shared" si="1"/>
        <v>0</v>
      </c>
      <c r="M38" s="10">
        <f t="shared" si="2"/>
        <v>0</v>
      </c>
      <c r="N38" s="11">
        <f t="shared" si="3"/>
        <v>0</v>
      </c>
      <c r="O38" s="3" t="s">
        <v>216</v>
      </c>
      <c r="P38" s="3"/>
      <c r="Q38" s="12"/>
      <c r="R38" s="12"/>
      <c r="S38" s="12"/>
      <c r="T38" s="12"/>
      <c r="U38" s="12"/>
      <c r="V38" s="18"/>
      <c r="W38" s="10">
        <f t="shared" si="4"/>
        <v>0</v>
      </c>
      <c r="X38" s="11"/>
      <c r="Y38" s="11">
        <f t="shared" si="5"/>
        <v>0</v>
      </c>
      <c r="Z38" s="10">
        <f>IF(Inställningar!$B$5="",0,Inställningar!$B$5)</f>
        <v>850</v>
      </c>
      <c r="AA38" s="10">
        <f t="shared" si="6"/>
        <v>0</v>
      </c>
      <c r="AB38" s="4"/>
      <c r="AC38" s="13">
        <f>IF(Inställningar!$B$6="",0,Inställningar!$B$6)</f>
        <v>0.15</v>
      </c>
      <c r="AD38" s="10">
        <f t="shared" si="7"/>
        <v>0</v>
      </c>
      <c r="AE38" s="12"/>
    </row>
    <row r="39" spans="1:31" ht="28.5">
      <c r="A39" s="7" t="s">
        <v>46</v>
      </c>
      <c r="B39" s="7" t="s">
        <v>205</v>
      </c>
      <c r="C39" s="7" t="s">
        <v>217</v>
      </c>
      <c r="D39" s="7" t="s">
        <v>218</v>
      </c>
      <c r="E39" s="7" t="s">
        <v>208</v>
      </c>
      <c r="F39" s="7" t="s">
        <v>209</v>
      </c>
      <c r="G39" s="8">
        <v>0</v>
      </c>
      <c r="H39" s="9">
        <v>0</v>
      </c>
      <c r="I39" s="7" t="s">
        <v>85</v>
      </c>
      <c r="J39" s="7" t="s">
        <v>85</v>
      </c>
      <c r="K39" s="10">
        <f t="shared" si="0"/>
        <v>0</v>
      </c>
      <c r="L39" s="11">
        <f t="shared" si="1"/>
        <v>0</v>
      </c>
      <c r="M39" s="10">
        <f t="shared" si="2"/>
        <v>0</v>
      </c>
      <c r="N39" s="11">
        <f t="shared" si="3"/>
        <v>0</v>
      </c>
      <c r="O39" s="3" t="s">
        <v>219</v>
      </c>
      <c r="P39" s="3"/>
      <c r="Q39" s="12"/>
      <c r="R39" s="12"/>
      <c r="S39" s="12"/>
      <c r="T39" s="12"/>
      <c r="U39" s="12"/>
      <c r="V39" s="18"/>
      <c r="W39" s="10">
        <f t="shared" ref="W39:W70" si="8">IF(OR(T39="",V39=""),0,T39*V39)</f>
        <v>0</v>
      </c>
      <c r="X39" s="11"/>
      <c r="Y39" s="11">
        <f t="shared" ref="Y39:Y70" si="9">IF(OR(T39="",X39=""),0,T39*X39)</f>
        <v>0</v>
      </c>
      <c r="Z39" s="10">
        <f>IF(Inställningar!$B$5="",0,Inställningar!$B$5)</f>
        <v>850</v>
      </c>
      <c r="AA39" s="10">
        <f t="shared" ref="AA39:AA70" si="10">Y39*Z39</f>
        <v>0</v>
      </c>
      <c r="AB39" s="4"/>
      <c r="AC39" s="13">
        <f>IF(Inställningar!$B$6="",0,Inställningar!$B$6)</f>
        <v>0.15</v>
      </c>
      <c r="AD39" s="10">
        <f t="shared" ref="AD39:AD70" si="11">ROUND((W39+AA39+IF(AB39="",0,AB39))*(1+AC39),0)</f>
        <v>0</v>
      </c>
      <c r="AE39" s="12"/>
    </row>
    <row r="40" spans="1:31" ht="29.25">
      <c r="A40" s="7" t="s">
        <v>46</v>
      </c>
      <c r="B40" s="7" t="s">
        <v>205</v>
      </c>
      <c r="C40" s="7" t="s">
        <v>220</v>
      </c>
      <c r="D40" s="7" t="s">
        <v>186</v>
      </c>
      <c r="E40" s="7" t="s">
        <v>208</v>
      </c>
      <c r="F40" s="7" t="s">
        <v>84</v>
      </c>
      <c r="G40" s="8">
        <v>12000</v>
      </c>
      <c r="H40" s="9">
        <v>4</v>
      </c>
      <c r="I40" s="7" t="s">
        <v>85</v>
      </c>
      <c r="J40" s="7" t="s">
        <v>46</v>
      </c>
      <c r="K40" s="10">
        <f t="shared" si="0"/>
        <v>12000</v>
      </c>
      <c r="L40" s="11">
        <f t="shared" si="1"/>
        <v>4</v>
      </c>
      <c r="M40" s="10">
        <f t="shared" si="2"/>
        <v>12000</v>
      </c>
      <c r="N40" s="11">
        <f t="shared" si="3"/>
        <v>4</v>
      </c>
      <c r="O40" s="3" t="s">
        <v>221</v>
      </c>
      <c r="P40" s="3"/>
      <c r="Q40" s="12"/>
      <c r="R40" s="12"/>
      <c r="S40" s="12"/>
      <c r="T40" s="12"/>
      <c r="U40" s="12"/>
      <c r="V40" s="18"/>
      <c r="W40" s="10">
        <f t="shared" si="8"/>
        <v>0</v>
      </c>
      <c r="X40" s="11"/>
      <c r="Y40" s="11">
        <f t="shared" si="9"/>
        <v>0</v>
      </c>
      <c r="Z40" s="10">
        <f>IF(Inställningar!$B$5="",0,Inställningar!$B$5)</f>
        <v>850</v>
      </c>
      <c r="AA40" s="10">
        <f t="shared" si="10"/>
        <v>0</v>
      </c>
      <c r="AB40" s="4"/>
      <c r="AC40" s="13">
        <f>IF(Inställningar!$B$6="",0,Inställningar!$B$6)</f>
        <v>0.15</v>
      </c>
      <c r="AD40" s="10">
        <f t="shared" si="11"/>
        <v>0</v>
      </c>
      <c r="AE40" s="12"/>
    </row>
    <row r="41" spans="1:31" ht="28.5">
      <c r="A41" s="7" t="s">
        <v>46</v>
      </c>
      <c r="B41" s="7" t="s">
        <v>205</v>
      </c>
      <c r="C41" s="7" t="s">
        <v>222</v>
      </c>
      <c r="D41" s="7" t="s">
        <v>223</v>
      </c>
      <c r="E41" s="7" t="s">
        <v>208</v>
      </c>
      <c r="F41" s="7" t="s">
        <v>209</v>
      </c>
      <c r="G41" s="8">
        <v>0</v>
      </c>
      <c r="H41" s="9">
        <v>0</v>
      </c>
      <c r="I41" s="7" t="s">
        <v>85</v>
      </c>
      <c r="J41" s="7" t="s">
        <v>85</v>
      </c>
      <c r="K41" s="10">
        <f t="shared" si="0"/>
        <v>0</v>
      </c>
      <c r="L41" s="11">
        <f t="shared" si="1"/>
        <v>0</v>
      </c>
      <c r="M41" s="10">
        <f t="shared" si="2"/>
        <v>0</v>
      </c>
      <c r="N41" s="11">
        <f t="shared" si="3"/>
        <v>0</v>
      </c>
      <c r="O41" s="3" t="s">
        <v>224</v>
      </c>
      <c r="P41" s="3"/>
      <c r="Q41" s="12"/>
      <c r="R41" s="12"/>
      <c r="S41" s="12"/>
      <c r="T41" s="12"/>
      <c r="U41" s="12"/>
      <c r="V41" s="18"/>
      <c r="W41" s="10">
        <f t="shared" si="8"/>
        <v>0</v>
      </c>
      <c r="X41" s="11"/>
      <c r="Y41" s="11">
        <f t="shared" si="9"/>
        <v>0</v>
      </c>
      <c r="Z41" s="10">
        <f>IF(Inställningar!$B$5="",0,Inställningar!$B$5)</f>
        <v>850</v>
      </c>
      <c r="AA41" s="10">
        <f t="shared" si="10"/>
        <v>0</v>
      </c>
      <c r="AB41" s="4"/>
      <c r="AC41" s="13">
        <f>IF(Inställningar!$B$6="",0,Inställningar!$B$6)</f>
        <v>0.15</v>
      </c>
      <c r="AD41" s="10">
        <f t="shared" si="11"/>
        <v>0</v>
      </c>
      <c r="AE41" s="12"/>
    </row>
    <row r="42" spans="1:31" ht="28.5">
      <c r="A42" s="7" t="s">
        <v>46</v>
      </c>
      <c r="B42" s="7" t="s">
        <v>205</v>
      </c>
      <c r="C42" s="7" t="s">
        <v>225</v>
      </c>
      <c r="D42" s="7" t="s">
        <v>226</v>
      </c>
      <c r="E42" s="7" t="s">
        <v>208</v>
      </c>
      <c r="F42" s="7" t="s">
        <v>145</v>
      </c>
      <c r="G42" s="8">
        <v>0</v>
      </c>
      <c r="H42" s="9">
        <v>0</v>
      </c>
      <c r="I42" s="7" t="s">
        <v>46</v>
      </c>
      <c r="J42" s="7" t="s">
        <v>85</v>
      </c>
      <c r="K42" s="10">
        <f t="shared" si="0"/>
        <v>0</v>
      </c>
      <c r="L42" s="11">
        <f t="shared" si="1"/>
        <v>0</v>
      </c>
      <c r="M42" s="10">
        <f t="shared" si="2"/>
        <v>0</v>
      </c>
      <c r="N42" s="11">
        <f t="shared" si="3"/>
        <v>0</v>
      </c>
      <c r="O42" s="3" t="s">
        <v>227</v>
      </c>
      <c r="P42" s="3"/>
      <c r="Q42" s="12"/>
      <c r="R42" s="12"/>
      <c r="S42" s="12"/>
      <c r="T42" s="12"/>
      <c r="U42" s="12"/>
      <c r="V42" s="18"/>
      <c r="W42" s="10">
        <f t="shared" si="8"/>
        <v>0</v>
      </c>
      <c r="X42" s="11"/>
      <c r="Y42" s="11">
        <f t="shared" si="9"/>
        <v>0</v>
      </c>
      <c r="Z42" s="10">
        <f>IF(Inställningar!$B$5="",0,Inställningar!$B$5)</f>
        <v>850</v>
      </c>
      <c r="AA42" s="10">
        <f t="shared" si="10"/>
        <v>0</v>
      </c>
      <c r="AB42" s="4"/>
      <c r="AC42" s="13">
        <f>IF(Inställningar!$B$6="",0,Inställningar!$B$6)</f>
        <v>0.15</v>
      </c>
      <c r="AD42" s="10">
        <f t="shared" si="11"/>
        <v>0</v>
      </c>
      <c r="AE42" s="12"/>
    </row>
    <row r="43" spans="1:31" ht="28.5">
      <c r="A43" s="7" t="s">
        <v>46</v>
      </c>
      <c r="B43" s="7" t="s">
        <v>205</v>
      </c>
      <c r="C43" s="7" t="s">
        <v>228</v>
      </c>
      <c r="D43" s="7" t="s">
        <v>229</v>
      </c>
      <c r="E43" s="7" t="s">
        <v>230</v>
      </c>
      <c r="F43" s="7" t="s">
        <v>231</v>
      </c>
      <c r="G43" s="8">
        <v>0</v>
      </c>
      <c r="H43" s="9">
        <v>0</v>
      </c>
      <c r="I43" s="7" t="s">
        <v>85</v>
      </c>
      <c r="J43" s="7" t="s">
        <v>85</v>
      </c>
      <c r="K43" s="10">
        <f t="shared" si="0"/>
        <v>0</v>
      </c>
      <c r="L43" s="11">
        <f t="shared" si="1"/>
        <v>0</v>
      </c>
      <c r="M43" s="10">
        <f t="shared" si="2"/>
        <v>0</v>
      </c>
      <c r="N43" s="11">
        <f t="shared" si="3"/>
        <v>0</v>
      </c>
      <c r="O43" s="3" t="s">
        <v>232</v>
      </c>
      <c r="P43" s="3"/>
      <c r="Q43" s="12"/>
      <c r="R43" s="12"/>
      <c r="S43" s="12"/>
      <c r="T43" s="12"/>
      <c r="U43" s="12"/>
      <c r="V43" s="18"/>
      <c r="W43" s="10">
        <f t="shared" si="8"/>
        <v>0</v>
      </c>
      <c r="X43" s="11"/>
      <c r="Y43" s="11">
        <f t="shared" si="9"/>
        <v>0</v>
      </c>
      <c r="Z43" s="10">
        <f>IF(Inställningar!$B$5="",0,Inställningar!$B$5)</f>
        <v>850</v>
      </c>
      <c r="AA43" s="10">
        <f t="shared" si="10"/>
        <v>0</v>
      </c>
      <c r="AB43" s="4"/>
      <c r="AC43" s="13">
        <f>IF(Inställningar!$B$6="",0,Inställningar!$B$6)</f>
        <v>0.15</v>
      </c>
      <c r="AD43" s="10">
        <f t="shared" si="11"/>
        <v>0</v>
      </c>
      <c r="AE43" s="12"/>
    </row>
    <row r="44" spans="1:31">
      <c r="A44" s="7" t="s">
        <v>85</v>
      </c>
      <c r="B44" s="7"/>
      <c r="C44" s="7"/>
      <c r="D44" s="7"/>
      <c r="E44" s="7"/>
      <c r="F44" s="7"/>
      <c r="G44" s="8"/>
      <c r="H44" s="9"/>
      <c r="I44" s="7" t="s">
        <v>85</v>
      </c>
      <c r="J44" s="7" t="s">
        <v>85</v>
      </c>
      <c r="K44" s="10" t="str">
        <f t="shared" si="0"/>
        <v/>
      </c>
      <c r="L44" s="11" t="str">
        <f t="shared" si="1"/>
        <v/>
      </c>
      <c r="M44" s="10" t="str">
        <f t="shared" si="2"/>
        <v/>
      </c>
      <c r="N44" s="11" t="str">
        <f t="shared" si="3"/>
        <v/>
      </c>
      <c r="O44" s="3"/>
      <c r="P44" s="3"/>
      <c r="Q44" s="12"/>
      <c r="R44" s="12"/>
      <c r="S44" s="12"/>
      <c r="T44" s="12"/>
      <c r="U44" s="12"/>
      <c r="V44" s="18"/>
      <c r="W44" s="10">
        <f t="shared" si="8"/>
        <v>0</v>
      </c>
      <c r="X44" s="11"/>
      <c r="Y44" s="11">
        <f t="shared" si="9"/>
        <v>0</v>
      </c>
      <c r="Z44" s="10">
        <f>IF(Inställningar!$B$5="",0,Inställningar!$B$5)</f>
        <v>850</v>
      </c>
      <c r="AA44" s="10">
        <f t="shared" si="10"/>
        <v>0</v>
      </c>
      <c r="AB44" s="4"/>
      <c r="AC44" s="13">
        <f>IF(Inställningar!$B$6="",0,Inställningar!$B$6)</f>
        <v>0.15</v>
      </c>
      <c r="AD44" s="10">
        <f t="shared" si="11"/>
        <v>0</v>
      </c>
      <c r="AE44" s="12"/>
    </row>
    <row r="45" spans="1:31">
      <c r="A45" s="7" t="s">
        <v>85</v>
      </c>
      <c r="B45" s="7"/>
      <c r="C45" s="7"/>
      <c r="D45" s="7"/>
      <c r="E45" s="7"/>
      <c r="F45" s="7"/>
      <c r="G45" s="8"/>
      <c r="H45" s="9"/>
      <c r="I45" s="7" t="s">
        <v>85</v>
      </c>
      <c r="J45" s="7" t="s">
        <v>85</v>
      </c>
      <c r="K45" s="10" t="str">
        <f t="shared" si="0"/>
        <v/>
      </c>
      <c r="L45" s="11" t="str">
        <f t="shared" si="1"/>
        <v/>
      </c>
      <c r="M45" s="10" t="str">
        <f t="shared" si="2"/>
        <v/>
      </c>
      <c r="N45" s="11" t="str">
        <f t="shared" si="3"/>
        <v/>
      </c>
      <c r="O45" s="3"/>
      <c r="P45" s="3"/>
      <c r="Q45" s="12"/>
      <c r="R45" s="12"/>
      <c r="S45" s="12"/>
      <c r="T45" s="12"/>
      <c r="U45" s="12"/>
      <c r="V45" s="18"/>
      <c r="W45" s="10">
        <f t="shared" si="8"/>
        <v>0</v>
      </c>
      <c r="X45" s="11"/>
      <c r="Y45" s="11">
        <f t="shared" si="9"/>
        <v>0</v>
      </c>
      <c r="Z45" s="10">
        <f>IF(Inställningar!$B$5="",0,Inställningar!$B$5)</f>
        <v>850</v>
      </c>
      <c r="AA45" s="10">
        <f t="shared" si="10"/>
        <v>0</v>
      </c>
      <c r="AB45" s="4"/>
      <c r="AC45" s="13">
        <f>IF(Inställningar!$B$6="",0,Inställningar!$B$6)</f>
        <v>0.15</v>
      </c>
      <c r="AD45" s="10">
        <f t="shared" si="11"/>
        <v>0</v>
      </c>
      <c r="AE45" s="12"/>
    </row>
    <row r="46" spans="1:31">
      <c r="A46" s="7" t="s">
        <v>85</v>
      </c>
      <c r="B46" s="7"/>
      <c r="C46" s="7"/>
      <c r="D46" s="7"/>
      <c r="E46" s="7"/>
      <c r="F46" s="7"/>
      <c r="G46" s="8"/>
      <c r="H46" s="9"/>
      <c r="I46" s="7" t="s">
        <v>85</v>
      </c>
      <c r="J46" s="7" t="s">
        <v>85</v>
      </c>
      <c r="K46" s="10" t="str">
        <f t="shared" si="0"/>
        <v/>
      </c>
      <c r="L46" s="11" t="str">
        <f t="shared" si="1"/>
        <v/>
      </c>
      <c r="M46" s="10" t="str">
        <f t="shared" si="2"/>
        <v/>
      </c>
      <c r="N46" s="11" t="str">
        <f t="shared" si="3"/>
        <v/>
      </c>
      <c r="O46" s="3"/>
      <c r="P46" s="3"/>
      <c r="Q46" s="12"/>
      <c r="R46" s="12"/>
      <c r="S46" s="12"/>
      <c r="T46" s="12"/>
      <c r="U46" s="12"/>
      <c r="V46" s="18"/>
      <c r="W46" s="10">
        <f t="shared" si="8"/>
        <v>0</v>
      </c>
      <c r="X46" s="11"/>
      <c r="Y46" s="11">
        <f t="shared" si="9"/>
        <v>0</v>
      </c>
      <c r="Z46" s="10">
        <f>IF(Inställningar!$B$5="",0,Inställningar!$B$5)</f>
        <v>850</v>
      </c>
      <c r="AA46" s="10">
        <f t="shared" si="10"/>
        <v>0</v>
      </c>
      <c r="AB46" s="4"/>
      <c r="AC46" s="13">
        <f>IF(Inställningar!$B$6="",0,Inställningar!$B$6)</f>
        <v>0.15</v>
      </c>
      <c r="AD46" s="10">
        <f t="shared" si="11"/>
        <v>0</v>
      </c>
      <c r="AE46" s="12"/>
    </row>
    <row r="47" spans="1:31">
      <c r="A47" s="7" t="s">
        <v>85</v>
      </c>
      <c r="B47" s="7"/>
      <c r="C47" s="7"/>
      <c r="D47" s="7"/>
      <c r="E47" s="7"/>
      <c r="F47" s="7"/>
      <c r="G47" s="8"/>
      <c r="H47" s="9"/>
      <c r="I47" s="7" t="s">
        <v>85</v>
      </c>
      <c r="J47" s="7" t="s">
        <v>85</v>
      </c>
      <c r="K47" s="10" t="str">
        <f t="shared" si="0"/>
        <v/>
      </c>
      <c r="L47" s="11" t="str">
        <f t="shared" si="1"/>
        <v/>
      </c>
      <c r="M47" s="10" t="str">
        <f t="shared" si="2"/>
        <v/>
      </c>
      <c r="N47" s="11" t="str">
        <f t="shared" si="3"/>
        <v/>
      </c>
      <c r="O47" s="3"/>
      <c r="P47" s="3"/>
      <c r="Q47" s="12"/>
      <c r="R47" s="12"/>
      <c r="S47" s="12"/>
      <c r="T47" s="12"/>
      <c r="U47" s="12"/>
      <c r="V47" s="18"/>
      <c r="W47" s="10">
        <f t="shared" si="8"/>
        <v>0</v>
      </c>
      <c r="X47" s="11"/>
      <c r="Y47" s="11">
        <f t="shared" si="9"/>
        <v>0</v>
      </c>
      <c r="Z47" s="10">
        <f>IF(Inställningar!$B$5="",0,Inställningar!$B$5)</f>
        <v>850</v>
      </c>
      <c r="AA47" s="10">
        <f t="shared" si="10"/>
        <v>0</v>
      </c>
      <c r="AB47" s="4"/>
      <c r="AC47" s="13">
        <f>IF(Inställningar!$B$6="",0,Inställningar!$B$6)</f>
        <v>0.15</v>
      </c>
      <c r="AD47" s="10">
        <f t="shared" si="11"/>
        <v>0</v>
      </c>
      <c r="AE47" s="12"/>
    </row>
    <row r="48" spans="1:31">
      <c r="A48" s="7" t="s">
        <v>85</v>
      </c>
      <c r="B48" s="7"/>
      <c r="C48" s="7"/>
      <c r="D48" s="7"/>
      <c r="E48" s="7"/>
      <c r="F48" s="7"/>
      <c r="G48" s="8"/>
      <c r="H48" s="9"/>
      <c r="I48" s="7" t="s">
        <v>85</v>
      </c>
      <c r="J48" s="7" t="s">
        <v>85</v>
      </c>
      <c r="K48" s="10" t="str">
        <f t="shared" si="0"/>
        <v/>
      </c>
      <c r="L48" s="11" t="str">
        <f t="shared" si="1"/>
        <v/>
      </c>
      <c r="M48" s="10" t="str">
        <f t="shared" si="2"/>
        <v/>
      </c>
      <c r="N48" s="11" t="str">
        <f t="shared" si="3"/>
        <v/>
      </c>
      <c r="O48" s="3"/>
      <c r="P48" s="3"/>
      <c r="Q48" s="12"/>
      <c r="R48" s="12"/>
      <c r="S48" s="12"/>
      <c r="T48" s="12"/>
      <c r="U48" s="12"/>
      <c r="V48" s="18"/>
      <c r="W48" s="10">
        <f t="shared" si="8"/>
        <v>0</v>
      </c>
      <c r="X48" s="11"/>
      <c r="Y48" s="11">
        <f t="shared" si="9"/>
        <v>0</v>
      </c>
      <c r="Z48" s="10">
        <f>IF(Inställningar!$B$5="",0,Inställningar!$B$5)</f>
        <v>850</v>
      </c>
      <c r="AA48" s="10">
        <f t="shared" si="10"/>
        <v>0</v>
      </c>
      <c r="AB48" s="4"/>
      <c r="AC48" s="13">
        <f>IF(Inställningar!$B$6="",0,Inställningar!$B$6)</f>
        <v>0.15</v>
      </c>
      <c r="AD48" s="10">
        <f t="shared" si="11"/>
        <v>0</v>
      </c>
      <c r="AE48" s="12"/>
    </row>
    <row r="49" spans="1:31">
      <c r="A49" s="7" t="s">
        <v>85</v>
      </c>
      <c r="B49" s="7"/>
      <c r="C49" s="7"/>
      <c r="D49" s="7"/>
      <c r="E49" s="7"/>
      <c r="F49" s="7"/>
      <c r="G49" s="8"/>
      <c r="H49" s="9"/>
      <c r="I49" s="7" t="s">
        <v>85</v>
      </c>
      <c r="J49" s="7" t="s">
        <v>85</v>
      </c>
      <c r="K49" s="10" t="str">
        <f t="shared" si="0"/>
        <v/>
      </c>
      <c r="L49" s="11" t="str">
        <f t="shared" si="1"/>
        <v/>
      </c>
      <c r="M49" s="10" t="str">
        <f t="shared" si="2"/>
        <v/>
      </c>
      <c r="N49" s="11" t="str">
        <f t="shared" si="3"/>
        <v/>
      </c>
      <c r="O49" s="3"/>
      <c r="P49" s="3"/>
      <c r="Q49" s="12"/>
      <c r="R49" s="12"/>
      <c r="S49" s="12"/>
      <c r="T49" s="12"/>
      <c r="U49" s="12"/>
      <c r="V49" s="18"/>
      <c r="W49" s="10">
        <f t="shared" si="8"/>
        <v>0</v>
      </c>
      <c r="X49" s="11"/>
      <c r="Y49" s="11">
        <f t="shared" si="9"/>
        <v>0</v>
      </c>
      <c r="Z49" s="10">
        <f>IF(Inställningar!$B$5="",0,Inställningar!$B$5)</f>
        <v>850</v>
      </c>
      <c r="AA49" s="10">
        <f t="shared" si="10"/>
        <v>0</v>
      </c>
      <c r="AB49" s="4"/>
      <c r="AC49" s="13">
        <f>IF(Inställningar!$B$6="",0,Inställningar!$B$6)</f>
        <v>0.15</v>
      </c>
      <c r="AD49" s="10">
        <f t="shared" si="11"/>
        <v>0</v>
      </c>
      <c r="AE49" s="12"/>
    </row>
    <row r="50" spans="1:31">
      <c r="A50" s="7" t="s">
        <v>85</v>
      </c>
      <c r="B50" s="7"/>
      <c r="C50" s="7"/>
      <c r="D50" s="7"/>
      <c r="E50" s="7"/>
      <c r="F50" s="7"/>
      <c r="G50" s="8"/>
      <c r="H50" s="9"/>
      <c r="I50" s="7" t="s">
        <v>85</v>
      </c>
      <c r="J50" s="7" t="s">
        <v>85</v>
      </c>
      <c r="K50" s="10" t="str">
        <f t="shared" si="0"/>
        <v/>
      </c>
      <c r="L50" s="11" t="str">
        <f t="shared" si="1"/>
        <v/>
      </c>
      <c r="M50" s="10" t="str">
        <f t="shared" si="2"/>
        <v/>
      </c>
      <c r="N50" s="11" t="str">
        <f t="shared" si="3"/>
        <v/>
      </c>
      <c r="O50" s="3"/>
      <c r="P50" s="3"/>
      <c r="Q50" s="12"/>
      <c r="R50" s="12"/>
      <c r="S50" s="12"/>
      <c r="T50" s="12"/>
      <c r="U50" s="12"/>
      <c r="V50" s="18"/>
      <c r="W50" s="10">
        <f t="shared" si="8"/>
        <v>0</v>
      </c>
      <c r="X50" s="11"/>
      <c r="Y50" s="11">
        <f t="shared" si="9"/>
        <v>0</v>
      </c>
      <c r="Z50" s="10">
        <f>IF(Inställningar!$B$5="",0,Inställningar!$B$5)</f>
        <v>850</v>
      </c>
      <c r="AA50" s="10">
        <f t="shared" si="10"/>
        <v>0</v>
      </c>
      <c r="AB50" s="4"/>
      <c r="AC50" s="13">
        <f>IF(Inställningar!$B$6="",0,Inställningar!$B$6)</f>
        <v>0.15</v>
      </c>
      <c r="AD50" s="10">
        <f t="shared" si="11"/>
        <v>0</v>
      </c>
      <c r="AE50" s="12"/>
    </row>
    <row r="51" spans="1:31">
      <c r="A51" s="7" t="s">
        <v>85</v>
      </c>
      <c r="B51" s="7"/>
      <c r="C51" s="7"/>
      <c r="D51" s="7"/>
      <c r="E51" s="7"/>
      <c r="F51" s="7"/>
      <c r="G51" s="8"/>
      <c r="H51" s="9"/>
      <c r="I51" s="7" t="s">
        <v>85</v>
      </c>
      <c r="J51" s="7" t="s">
        <v>85</v>
      </c>
      <c r="K51" s="10" t="str">
        <f t="shared" si="0"/>
        <v/>
      </c>
      <c r="L51" s="11" t="str">
        <f t="shared" si="1"/>
        <v/>
      </c>
      <c r="M51" s="10" t="str">
        <f t="shared" si="2"/>
        <v/>
      </c>
      <c r="N51" s="11" t="str">
        <f t="shared" si="3"/>
        <v/>
      </c>
      <c r="O51" s="3"/>
      <c r="P51" s="3"/>
      <c r="Q51" s="12"/>
      <c r="R51" s="12"/>
      <c r="S51" s="12"/>
      <c r="T51" s="12"/>
      <c r="U51" s="12"/>
      <c r="V51" s="18"/>
      <c r="W51" s="10">
        <f t="shared" si="8"/>
        <v>0</v>
      </c>
      <c r="X51" s="11"/>
      <c r="Y51" s="11">
        <f t="shared" si="9"/>
        <v>0</v>
      </c>
      <c r="Z51" s="10">
        <f>IF(Inställningar!$B$5="",0,Inställningar!$B$5)</f>
        <v>850</v>
      </c>
      <c r="AA51" s="10">
        <f t="shared" si="10"/>
        <v>0</v>
      </c>
      <c r="AB51" s="4"/>
      <c r="AC51" s="13">
        <f>IF(Inställningar!$B$6="",0,Inställningar!$B$6)</f>
        <v>0.15</v>
      </c>
      <c r="AD51" s="10">
        <f t="shared" si="11"/>
        <v>0</v>
      </c>
      <c r="AE51" s="12"/>
    </row>
    <row r="52" spans="1:3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12"/>
      <c r="R52" s="12"/>
      <c r="S52" s="12"/>
      <c r="T52" s="12"/>
      <c r="U52" s="12"/>
      <c r="V52" s="18"/>
      <c r="W52" s="10">
        <f t="shared" si="8"/>
        <v>0</v>
      </c>
      <c r="X52" s="11"/>
      <c r="Y52" s="11">
        <f t="shared" si="9"/>
        <v>0</v>
      </c>
      <c r="Z52" s="10">
        <f>IF(Inställningar!$B$5="",0,Inställningar!$B$5)</f>
        <v>850</v>
      </c>
      <c r="AA52" s="10">
        <f t="shared" si="10"/>
        <v>0</v>
      </c>
      <c r="AB52" s="4"/>
      <c r="AC52" s="13">
        <f>IF(Inställningar!$B$6="",0,Inställningar!$B$6)</f>
        <v>0.15</v>
      </c>
      <c r="AD52" s="10">
        <f t="shared" si="11"/>
        <v>0</v>
      </c>
      <c r="AE52" s="12"/>
    </row>
    <row r="53" spans="1:3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12"/>
      <c r="R53" s="12"/>
      <c r="S53" s="12"/>
      <c r="T53" s="12"/>
      <c r="U53" s="12"/>
      <c r="V53" s="18"/>
      <c r="W53" s="10">
        <f t="shared" si="8"/>
        <v>0</v>
      </c>
      <c r="X53" s="11"/>
      <c r="Y53" s="11">
        <f t="shared" si="9"/>
        <v>0</v>
      </c>
      <c r="Z53" s="10">
        <f>IF(Inställningar!$B$5="",0,Inställningar!$B$5)</f>
        <v>850</v>
      </c>
      <c r="AA53" s="10">
        <f t="shared" si="10"/>
        <v>0</v>
      </c>
      <c r="AB53" s="4"/>
      <c r="AC53" s="13">
        <f>IF(Inställningar!$B$6="",0,Inställningar!$B$6)</f>
        <v>0.15</v>
      </c>
      <c r="AD53" s="10">
        <f t="shared" si="11"/>
        <v>0</v>
      </c>
      <c r="AE53" s="12"/>
    </row>
    <row r="54" spans="1:3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12"/>
      <c r="R54" s="12"/>
      <c r="S54" s="12"/>
      <c r="T54" s="12"/>
      <c r="U54" s="12"/>
      <c r="V54" s="18"/>
      <c r="W54" s="10">
        <f t="shared" si="8"/>
        <v>0</v>
      </c>
      <c r="X54" s="11"/>
      <c r="Y54" s="11">
        <f t="shared" si="9"/>
        <v>0</v>
      </c>
      <c r="Z54" s="10">
        <f>IF(Inställningar!$B$5="",0,Inställningar!$B$5)</f>
        <v>850</v>
      </c>
      <c r="AA54" s="10">
        <f t="shared" si="10"/>
        <v>0</v>
      </c>
      <c r="AB54" s="4"/>
      <c r="AC54" s="13">
        <f>IF(Inställningar!$B$6="",0,Inställningar!$B$6)</f>
        <v>0.15</v>
      </c>
      <c r="AD54" s="10">
        <f t="shared" si="11"/>
        <v>0</v>
      </c>
      <c r="AE54" s="12"/>
    </row>
    <row r="55" spans="1:31" ht="15">
      <c r="A55" s="20" t="s">
        <v>233</v>
      </c>
      <c r="B55" s="20"/>
      <c r="C55" s="20"/>
      <c r="D55" s="20"/>
      <c r="E55" s="20"/>
      <c r="F55" s="20"/>
      <c r="G55" s="20"/>
      <c r="H55" s="20"/>
      <c r="I55" s="3"/>
      <c r="J55" s="3"/>
      <c r="K55" s="3"/>
      <c r="L55" s="3"/>
      <c r="M55" s="3"/>
      <c r="N55" s="3"/>
      <c r="O55" s="3"/>
      <c r="P55" s="3"/>
      <c r="Q55" s="12"/>
      <c r="R55" s="12"/>
      <c r="S55" s="12"/>
      <c r="T55" s="12"/>
      <c r="U55" s="12"/>
      <c r="V55" s="18"/>
      <c r="W55" s="10">
        <f t="shared" si="8"/>
        <v>0</v>
      </c>
      <c r="X55" s="11"/>
      <c r="Y55" s="11">
        <f t="shared" si="9"/>
        <v>0</v>
      </c>
      <c r="Z55" s="10">
        <f>IF(Inställningar!$B$5="",0,Inställningar!$B$5)</f>
        <v>850</v>
      </c>
      <c r="AA55" s="10">
        <f t="shared" si="10"/>
        <v>0</v>
      </c>
      <c r="AB55" s="4"/>
      <c r="AC55" s="13">
        <f>IF(Inställningar!$B$6="",0,Inställningar!$B$6)</f>
        <v>0.15</v>
      </c>
      <c r="AD55" s="10">
        <f t="shared" si="11"/>
        <v>0</v>
      </c>
      <c r="AE55" s="12"/>
    </row>
    <row r="56" spans="1:3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12"/>
      <c r="R56" s="12"/>
      <c r="S56" s="12"/>
      <c r="T56" s="12"/>
      <c r="U56" s="12"/>
      <c r="V56" s="18"/>
      <c r="W56" s="10">
        <f t="shared" si="8"/>
        <v>0</v>
      </c>
      <c r="X56" s="11"/>
      <c r="Y56" s="11">
        <f t="shared" si="9"/>
        <v>0</v>
      </c>
      <c r="Z56" s="10">
        <f>IF(Inställningar!$B$5="",0,Inställningar!$B$5)</f>
        <v>850</v>
      </c>
      <c r="AA56" s="10">
        <f t="shared" si="10"/>
        <v>0</v>
      </c>
      <c r="AB56" s="4"/>
      <c r="AC56" s="13">
        <f>IF(Inställningar!$B$6="",0,Inställningar!$B$6)</f>
        <v>0.15</v>
      </c>
      <c r="AD56" s="10">
        <f t="shared" si="11"/>
        <v>0</v>
      </c>
      <c r="AE56" s="12"/>
    </row>
    <row r="57" spans="1:31" ht="30">
      <c r="A57" s="2" t="s">
        <v>234</v>
      </c>
      <c r="B57" s="2" t="s">
        <v>235</v>
      </c>
      <c r="C57" s="2" t="s">
        <v>236</v>
      </c>
      <c r="D57" s="2" t="s">
        <v>237</v>
      </c>
      <c r="E57" s="2" t="s">
        <v>67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12"/>
      <c r="R57" s="12"/>
      <c r="S57" s="12"/>
      <c r="T57" s="12"/>
      <c r="U57" s="12"/>
      <c r="V57" s="18"/>
      <c r="W57" s="10">
        <f t="shared" si="8"/>
        <v>0</v>
      </c>
      <c r="X57" s="11"/>
      <c r="Y57" s="11">
        <f t="shared" si="9"/>
        <v>0</v>
      </c>
      <c r="Z57" s="10">
        <f>IF(Inställningar!$B$5="",0,Inställningar!$B$5)</f>
        <v>850</v>
      </c>
      <c r="AA57" s="10">
        <f t="shared" si="10"/>
        <v>0</v>
      </c>
      <c r="AB57" s="4"/>
      <c r="AC57" s="13">
        <f>IF(Inställningar!$B$6="",0,Inställningar!$B$6)</f>
        <v>0.15</v>
      </c>
      <c r="AD57" s="10">
        <f t="shared" si="11"/>
        <v>0</v>
      </c>
      <c r="AE57" s="12"/>
    </row>
    <row r="58" spans="1:31" ht="28.5">
      <c r="A58" s="3" t="s">
        <v>114</v>
      </c>
      <c r="B58" s="14">
        <v>0.25</v>
      </c>
      <c r="C58" s="15">
        <v>0</v>
      </c>
      <c r="D58" s="14">
        <v>0.35</v>
      </c>
      <c r="E58" s="3" t="s">
        <v>238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12"/>
      <c r="R58" s="12"/>
      <c r="S58" s="12"/>
      <c r="T58" s="12"/>
      <c r="U58" s="12"/>
      <c r="V58" s="18"/>
      <c r="W58" s="10">
        <f t="shared" si="8"/>
        <v>0</v>
      </c>
      <c r="X58" s="11"/>
      <c r="Y58" s="11">
        <f t="shared" si="9"/>
        <v>0</v>
      </c>
      <c r="Z58" s="10">
        <f>IF(Inställningar!$B$5="",0,Inställningar!$B$5)</f>
        <v>850</v>
      </c>
      <c r="AA58" s="10">
        <f t="shared" si="10"/>
        <v>0</v>
      </c>
      <c r="AB58" s="4"/>
      <c r="AC58" s="13">
        <f>IF(Inställningar!$B$6="",0,Inställningar!$B$6)</f>
        <v>0.15</v>
      </c>
      <c r="AD58" s="10">
        <f t="shared" si="11"/>
        <v>0</v>
      </c>
      <c r="AE58" s="12"/>
    </row>
    <row r="59" spans="1:31">
      <c r="A59" s="3" t="s">
        <v>239</v>
      </c>
      <c r="B59" s="14">
        <v>1</v>
      </c>
      <c r="C59" s="15">
        <v>0</v>
      </c>
      <c r="D59" s="14">
        <v>1</v>
      </c>
      <c r="E59" s="3" t="s">
        <v>240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12"/>
      <c r="R59" s="12"/>
      <c r="S59" s="12"/>
      <c r="T59" s="12"/>
      <c r="U59" s="12"/>
      <c r="V59" s="18"/>
      <c r="W59" s="10">
        <f t="shared" si="8"/>
        <v>0</v>
      </c>
      <c r="X59" s="11"/>
      <c r="Y59" s="11">
        <f t="shared" si="9"/>
        <v>0</v>
      </c>
      <c r="Z59" s="10">
        <f>IF(Inställningar!$B$5="",0,Inställningar!$B$5)</f>
        <v>850</v>
      </c>
      <c r="AA59" s="10">
        <f t="shared" si="10"/>
        <v>0</v>
      </c>
      <c r="AB59" s="4"/>
      <c r="AC59" s="13">
        <f>IF(Inställningar!$B$6="",0,Inställningar!$B$6)</f>
        <v>0.15</v>
      </c>
      <c r="AD59" s="10">
        <f t="shared" si="11"/>
        <v>0</v>
      </c>
      <c r="AE59" s="12"/>
    </row>
    <row r="60" spans="1:31">
      <c r="A60" s="3" t="s">
        <v>149</v>
      </c>
      <c r="B60" s="14">
        <v>0.55000000000000004</v>
      </c>
      <c r="C60" s="15">
        <v>12000</v>
      </c>
      <c r="D60" s="14">
        <v>0.65</v>
      </c>
      <c r="E60" s="3" t="s">
        <v>241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12"/>
      <c r="R60" s="12"/>
      <c r="S60" s="12"/>
      <c r="T60" s="12"/>
      <c r="U60" s="12"/>
      <c r="V60" s="18"/>
      <c r="W60" s="10">
        <f t="shared" si="8"/>
        <v>0</v>
      </c>
      <c r="X60" s="11"/>
      <c r="Y60" s="11">
        <f t="shared" si="9"/>
        <v>0</v>
      </c>
      <c r="Z60" s="10">
        <f>IF(Inställningar!$B$5="",0,Inställningar!$B$5)</f>
        <v>850</v>
      </c>
      <c r="AA60" s="10">
        <f t="shared" si="10"/>
        <v>0</v>
      </c>
      <c r="AB60" s="4"/>
      <c r="AC60" s="13">
        <f>IF(Inställningar!$B$6="",0,Inställningar!$B$6)</f>
        <v>0.15</v>
      </c>
      <c r="AD60" s="10">
        <f t="shared" si="11"/>
        <v>0</v>
      </c>
      <c r="AE60" s="12"/>
    </row>
    <row r="61" spans="1:31">
      <c r="A61" s="3" t="s">
        <v>242</v>
      </c>
      <c r="B61" s="14">
        <v>1.25</v>
      </c>
      <c r="C61" s="15">
        <v>16000</v>
      </c>
      <c r="D61" s="14">
        <v>1.2</v>
      </c>
      <c r="E61" s="3" t="s">
        <v>243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12"/>
      <c r="R61" s="12"/>
      <c r="S61" s="12"/>
      <c r="T61" s="12"/>
      <c r="U61" s="12"/>
      <c r="V61" s="18"/>
      <c r="W61" s="10">
        <f t="shared" si="8"/>
        <v>0</v>
      </c>
      <c r="X61" s="11"/>
      <c r="Y61" s="11">
        <f t="shared" si="9"/>
        <v>0</v>
      </c>
      <c r="Z61" s="10">
        <f>IF(Inställningar!$B$5="",0,Inställningar!$B$5)</f>
        <v>850</v>
      </c>
      <c r="AA61" s="10">
        <f t="shared" si="10"/>
        <v>0</v>
      </c>
      <c r="AB61" s="4"/>
      <c r="AC61" s="13">
        <f>IF(Inställningar!$B$6="",0,Inställningar!$B$6)</f>
        <v>0.15</v>
      </c>
      <c r="AD61" s="10">
        <f t="shared" si="11"/>
        <v>0</v>
      </c>
      <c r="AE61" s="12"/>
    </row>
    <row r="62" spans="1:3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12"/>
      <c r="R62" s="12"/>
      <c r="S62" s="12"/>
      <c r="T62" s="12"/>
      <c r="U62" s="12"/>
      <c r="V62" s="18"/>
      <c r="W62" s="10">
        <f t="shared" si="8"/>
        <v>0</v>
      </c>
      <c r="X62" s="11"/>
      <c r="Y62" s="11">
        <f t="shared" si="9"/>
        <v>0</v>
      </c>
      <c r="Z62" s="10">
        <f>IF(Inställningar!$B$5="",0,Inställningar!$B$5)</f>
        <v>850</v>
      </c>
      <c r="AA62" s="10">
        <f t="shared" si="10"/>
        <v>0</v>
      </c>
      <c r="AB62" s="4"/>
      <c r="AC62" s="13">
        <f>IF(Inställningar!$B$6="",0,Inställningar!$B$6)</f>
        <v>0.15</v>
      </c>
      <c r="AD62" s="10">
        <f t="shared" si="11"/>
        <v>0</v>
      </c>
      <c r="AE62" s="12"/>
    </row>
    <row r="63" spans="1:3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12"/>
      <c r="R63" s="12"/>
      <c r="S63" s="12"/>
      <c r="T63" s="12"/>
      <c r="U63" s="12"/>
      <c r="V63" s="18"/>
      <c r="W63" s="10">
        <f t="shared" si="8"/>
        <v>0</v>
      </c>
      <c r="X63" s="11"/>
      <c r="Y63" s="11">
        <f t="shared" si="9"/>
        <v>0</v>
      </c>
      <c r="Z63" s="10">
        <f>IF(Inställningar!$B$5="",0,Inställningar!$B$5)</f>
        <v>850</v>
      </c>
      <c r="AA63" s="10">
        <f t="shared" si="10"/>
        <v>0</v>
      </c>
      <c r="AB63" s="4"/>
      <c r="AC63" s="13">
        <f>IF(Inställningar!$B$6="",0,Inställningar!$B$6)</f>
        <v>0.15</v>
      </c>
      <c r="AD63" s="10">
        <f t="shared" si="11"/>
        <v>0</v>
      </c>
      <c r="AE63" s="12"/>
    </row>
    <row r="64" spans="1:31" ht="15">
      <c r="A64" s="2" t="s">
        <v>244</v>
      </c>
      <c r="B64" s="2" t="s">
        <v>245</v>
      </c>
      <c r="C64" s="2" t="s">
        <v>246</v>
      </c>
      <c r="D64" s="2" t="s">
        <v>61</v>
      </c>
      <c r="E64" s="2" t="s">
        <v>17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12"/>
      <c r="R64" s="12"/>
      <c r="S64" s="12"/>
      <c r="T64" s="12"/>
      <c r="U64" s="12"/>
      <c r="V64" s="18"/>
      <c r="W64" s="10">
        <f t="shared" si="8"/>
        <v>0</v>
      </c>
      <c r="X64" s="11"/>
      <c r="Y64" s="11">
        <f t="shared" si="9"/>
        <v>0</v>
      </c>
      <c r="Z64" s="10">
        <f>IF(Inställningar!$B$5="",0,Inställningar!$B$5)</f>
        <v>850</v>
      </c>
      <c r="AA64" s="10">
        <f t="shared" si="10"/>
        <v>0</v>
      </c>
      <c r="AB64" s="4"/>
      <c r="AC64" s="13">
        <f>IF(Inställningar!$B$6="",0,Inställningar!$B$6)</f>
        <v>0.15</v>
      </c>
      <c r="AD64" s="10">
        <f t="shared" si="11"/>
        <v>0</v>
      </c>
      <c r="AE64" s="12"/>
    </row>
    <row r="65" spans="1:31">
      <c r="A65" s="3" t="s">
        <v>114</v>
      </c>
      <c r="B65" s="15">
        <v>0</v>
      </c>
      <c r="C65" s="15">
        <v>0</v>
      </c>
      <c r="D65" s="3" t="s">
        <v>85</v>
      </c>
      <c r="E65" s="3" t="s">
        <v>247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12"/>
      <c r="R65" s="12"/>
      <c r="S65" s="12"/>
      <c r="T65" s="12"/>
      <c r="U65" s="12"/>
      <c r="V65" s="18"/>
      <c r="W65" s="10">
        <f t="shared" si="8"/>
        <v>0</v>
      </c>
      <c r="X65" s="11"/>
      <c r="Y65" s="11">
        <f t="shared" si="9"/>
        <v>0</v>
      </c>
      <c r="Z65" s="10">
        <f>IF(Inställningar!$B$5="",0,Inställningar!$B$5)</f>
        <v>850</v>
      </c>
      <c r="AA65" s="10">
        <f t="shared" si="10"/>
        <v>0</v>
      </c>
      <c r="AB65" s="4"/>
      <c r="AC65" s="13">
        <f>IF(Inställningar!$B$6="",0,Inställningar!$B$6)</f>
        <v>0.15</v>
      </c>
      <c r="AD65" s="10">
        <f t="shared" si="11"/>
        <v>0</v>
      </c>
      <c r="AE65" s="12"/>
    </row>
    <row r="66" spans="1:31">
      <c r="A66" s="3" t="s">
        <v>248</v>
      </c>
      <c r="B66" s="15">
        <v>58000</v>
      </c>
      <c r="C66" s="15">
        <v>28000</v>
      </c>
      <c r="D66" s="3" t="s">
        <v>85</v>
      </c>
      <c r="E66" s="3" t="s">
        <v>249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12"/>
      <c r="R66" s="12"/>
      <c r="S66" s="12"/>
      <c r="T66" s="12"/>
      <c r="U66" s="12"/>
      <c r="V66" s="18"/>
      <c r="W66" s="10">
        <f t="shared" si="8"/>
        <v>0</v>
      </c>
      <c r="X66" s="11"/>
      <c r="Y66" s="11">
        <f t="shared" si="9"/>
        <v>0</v>
      </c>
      <c r="Z66" s="10">
        <f>IF(Inställningar!$B$5="",0,Inställningar!$B$5)</f>
        <v>850</v>
      </c>
      <c r="AA66" s="10">
        <f t="shared" si="10"/>
        <v>0</v>
      </c>
      <c r="AB66" s="4"/>
      <c r="AC66" s="13">
        <f>IF(Inställningar!$B$6="",0,Inställningar!$B$6)</f>
        <v>0.15</v>
      </c>
      <c r="AD66" s="10">
        <f t="shared" si="11"/>
        <v>0</v>
      </c>
      <c r="AE66" s="12"/>
    </row>
    <row r="67" spans="1:31">
      <c r="A67" s="3" t="s">
        <v>250</v>
      </c>
      <c r="B67" s="15">
        <v>41000</v>
      </c>
      <c r="C67" s="15">
        <v>26000</v>
      </c>
      <c r="D67" s="3" t="s">
        <v>85</v>
      </c>
      <c r="E67" s="3" t="s">
        <v>251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12"/>
      <c r="R67" s="12"/>
      <c r="S67" s="12"/>
      <c r="T67" s="12"/>
      <c r="U67" s="12"/>
      <c r="V67" s="18"/>
      <c r="W67" s="10">
        <f t="shared" si="8"/>
        <v>0</v>
      </c>
      <c r="X67" s="11"/>
      <c r="Y67" s="11">
        <f t="shared" si="9"/>
        <v>0</v>
      </c>
      <c r="Z67" s="10">
        <f>IF(Inställningar!$B$5="",0,Inställningar!$B$5)</f>
        <v>850</v>
      </c>
      <c r="AA67" s="10">
        <f t="shared" si="10"/>
        <v>0</v>
      </c>
      <c r="AB67" s="4"/>
      <c r="AC67" s="13">
        <f>IF(Inställningar!$B$6="",0,Inställningar!$B$6)</f>
        <v>0.15</v>
      </c>
      <c r="AD67" s="10">
        <f t="shared" si="11"/>
        <v>0</v>
      </c>
      <c r="AE67" s="12"/>
    </row>
    <row r="68" spans="1:31">
      <c r="A68" s="3" t="s">
        <v>252</v>
      </c>
      <c r="B68" s="15">
        <v>34000</v>
      </c>
      <c r="C68" s="15">
        <v>24000</v>
      </c>
      <c r="D68" s="3" t="s">
        <v>85</v>
      </c>
      <c r="E68" s="3" t="s">
        <v>253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12"/>
      <c r="R68" s="12"/>
      <c r="S68" s="12"/>
      <c r="T68" s="12"/>
      <c r="U68" s="12"/>
      <c r="V68" s="18"/>
      <c r="W68" s="10">
        <f t="shared" si="8"/>
        <v>0</v>
      </c>
      <c r="X68" s="11"/>
      <c r="Y68" s="11">
        <f t="shared" si="9"/>
        <v>0</v>
      </c>
      <c r="Z68" s="10">
        <f>IF(Inställningar!$B$5="",0,Inställningar!$B$5)</f>
        <v>850</v>
      </c>
      <c r="AA68" s="10">
        <f t="shared" si="10"/>
        <v>0</v>
      </c>
      <c r="AB68" s="4"/>
      <c r="AC68" s="13">
        <f>IF(Inställningar!$B$6="",0,Inställningar!$B$6)</f>
        <v>0.15</v>
      </c>
      <c r="AD68" s="10">
        <f t="shared" si="11"/>
        <v>0</v>
      </c>
      <c r="AE68" s="12"/>
    </row>
    <row r="69" spans="1:31">
      <c r="A69" s="3" t="s">
        <v>202</v>
      </c>
      <c r="B69" s="15">
        <v>0</v>
      </c>
      <c r="C69" s="15">
        <v>0</v>
      </c>
      <c r="D69" s="3" t="s">
        <v>46</v>
      </c>
      <c r="E69" s="3" t="s">
        <v>254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12"/>
      <c r="R69" s="12"/>
      <c r="S69" s="12"/>
      <c r="T69" s="12"/>
      <c r="U69" s="12"/>
      <c r="V69" s="18"/>
      <c r="W69" s="10">
        <f t="shared" si="8"/>
        <v>0</v>
      </c>
      <c r="X69" s="11"/>
      <c r="Y69" s="11">
        <f t="shared" si="9"/>
        <v>0</v>
      </c>
      <c r="Z69" s="10">
        <f>IF(Inställningar!$B$5="",0,Inställningar!$B$5)</f>
        <v>850</v>
      </c>
      <c r="AA69" s="10">
        <f t="shared" si="10"/>
        <v>0</v>
      </c>
      <c r="AB69" s="4"/>
      <c r="AC69" s="13">
        <f>IF(Inställningar!$B$6="",0,Inställningar!$B$6)</f>
        <v>0.15</v>
      </c>
      <c r="AD69" s="10">
        <f t="shared" si="11"/>
        <v>0</v>
      </c>
      <c r="AE69" s="12"/>
    </row>
    <row r="70" spans="1:3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2"/>
      <c r="R70" s="12"/>
      <c r="S70" s="12"/>
      <c r="T70" s="12"/>
      <c r="U70" s="12"/>
      <c r="V70" s="18"/>
      <c r="W70" s="10">
        <f t="shared" si="8"/>
        <v>0</v>
      </c>
      <c r="X70" s="11"/>
      <c r="Y70" s="11">
        <f t="shared" si="9"/>
        <v>0</v>
      </c>
      <c r="Z70" s="10">
        <f>IF(Inställningar!$B$5="",0,Inställningar!$B$5)</f>
        <v>850</v>
      </c>
      <c r="AA70" s="10">
        <f t="shared" si="10"/>
        <v>0</v>
      </c>
      <c r="AB70" s="4"/>
      <c r="AC70" s="13">
        <f>IF(Inställningar!$B$6="",0,Inställningar!$B$6)</f>
        <v>0.15</v>
      </c>
      <c r="AD70" s="10">
        <f t="shared" si="11"/>
        <v>0</v>
      </c>
      <c r="AE70" s="12"/>
    </row>
    <row r="71" spans="1:3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12"/>
      <c r="R71" s="12"/>
      <c r="S71" s="12"/>
      <c r="T71" s="12"/>
      <c r="U71" s="12"/>
      <c r="V71" s="18"/>
      <c r="W71" s="10">
        <f t="shared" ref="W71:W102" si="12">IF(OR(T71="",V71=""),0,T71*V71)</f>
        <v>0</v>
      </c>
      <c r="X71" s="11"/>
      <c r="Y71" s="11">
        <f t="shared" ref="Y71:Y102" si="13">IF(OR(T71="",X71=""),0,T71*X71)</f>
        <v>0</v>
      </c>
      <c r="Z71" s="10">
        <f>IF(Inställningar!$B$5="",0,Inställningar!$B$5)</f>
        <v>850</v>
      </c>
      <c r="AA71" s="10">
        <f t="shared" ref="AA71:AA102" si="14">Y71*Z71</f>
        <v>0</v>
      </c>
      <c r="AB71" s="4"/>
      <c r="AC71" s="13">
        <f>IF(Inställningar!$B$6="",0,Inställningar!$B$6)</f>
        <v>0.15</v>
      </c>
      <c r="AD71" s="10">
        <f t="shared" ref="AD71:AD102" si="15">ROUND((W71+AA71+IF(AB71="",0,AB71))*(1+AC71),0)</f>
        <v>0</v>
      </c>
      <c r="AE71" s="12"/>
    </row>
    <row r="72" spans="1:31" ht="15">
      <c r="A72" s="2" t="s">
        <v>209</v>
      </c>
      <c r="B72" s="2" t="s">
        <v>29</v>
      </c>
      <c r="C72" s="2" t="s">
        <v>58</v>
      </c>
      <c r="D72" s="2" t="s">
        <v>17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12"/>
      <c r="R72" s="12"/>
      <c r="S72" s="12"/>
      <c r="T72" s="12"/>
      <c r="U72" s="12"/>
      <c r="V72" s="18"/>
      <c r="W72" s="10">
        <f t="shared" si="12"/>
        <v>0</v>
      </c>
      <c r="X72" s="11"/>
      <c r="Y72" s="11">
        <f t="shared" si="13"/>
        <v>0</v>
      </c>
      <c r="Z72" s="10">
        <f>IF(Inställningar!$B$5="",0,Inställningar!$B$5)</f>
        <v>850</v>
      </c>
      <c r="AA72" s="10">
        <f t="shared" si="14"/>
        <v>0</v>
      </c>
      <c r="AB72" s="4"/>
      <c r="AC72" s="13">
        <f>IF(Inställningar!$B$6="",0,Inställningar!$B$6)</f>
        <v>0.15</v>
      </c>
      <c r="AD72" s="10">
        <f t="shared" si="15"/>
        <v>0</v>
      </c>
      <c r="AE72" s="12"/>
    </row>
    <row r="73" spans="1:31" ht="28.5">
      <c r="A73" s="3" t="s">
        <v>255</v>
      </c>
      <c r="B73" s="6">
        <v>0.1</v>
      </c>
      <c r="C73" s="3" t="s">
        <v>231</v>
      </c>
      <c r="D73" s="3" t="s">
        <v>256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12"/>
      <c r="R73" s="12"/>
      <c r="S73" s="12"/>
      <c r="T73" s="12"/>
      <c r="U73" s="12"/>
      <c r="V73" s="18"/>
      <c r="W73" s="10">
        <f t="shared" si="12"/>
        <v>0</v>
      </c>
      <c r="X73" s="11"/>
      <c r="Y73" s="11">
        <f t="shared" si="13"/>
        <v>0</v>
      </c>
      <c r="Z73" s="10">
        <f>IF(Inställningar!$B$5="",0,Inställningar!$B$5)</f>
        <v>850</v>
      </c>
      <c r="AA73" s="10">
        <f t="shared" si="14"/>
        <v>0</v>
      </c>
      <c r="AB73" s="4"/>
      <c r="AC73" s="13">
        <f>IF(Inställningar!$B$6="",0,Inställningar!$B$6)</f>
        <v>0.15</v>
      </c>
      <c r="AD73" s="10">
        <f t="shared" si="15"/>
        <v>0</v>
      </c>
      <c r="AE73" s="12"/>
    </row>
    <row r="74" spans="1:31" ht="42.75">
      <c r="A74" s="3" t="s">
        <v>257</v>
      </c>
      <c r="B74" s="3" t="s">
        <v>258</v>
      </c>
      <c r="C74" s="3" t="s">
        <v>259</v>
      </c>
      <c r="D74" s="3" t="s">
        <v>260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12"/>
      <c r="R74" s="12"/>
      <c r="S74" s="12"/>
      <c r="T74" s="12"/>
      <c r="U74" s="12"/>
      <c r="V74" s="18"/>
      <c r="W74" s="10">
        <f t="shared" si="12"/>
        <v>0</v>
      </c>
      <c r="X74" s="11"/>
      <c r="Y74" s="11">
        <f t="shared" si="13"/>
        <v>0</v>
      </c>
      <c r="Z74" s="10">
        <f>IF(Inställningar!$B$5="",0,Inställningar!$B$5)</f>
        <v>850</v>
      </c>
      <c r="AA74" s="10">
        <f t="shared" si="14"/>
        <v>0</v>
      </c>
      <c r="AB74" s="4"/>
      <c r="AC74" s="13">
        <f>IF(Inställningar!$B$6="",0,Inställningar!$B$6)</f>
        <v>0.15</v>
      </c>
      <c r="AD74" s="10">
        <f t="shared" si="15"/>
        <v>0</v>
      </c>
      <c r="AE74" s="12"/>
    </row>
    <row r="75" spans="1:3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12"/>
      <c r="R75" s="12"/>
      <c r="S75" s="12"/>
      <c r="T75" s="12"/>
      <c r="U75" s="12"/>
      <c r="V75" s="18"/>
      <c r="W75" s="10">
        <f t="shared" si="12"/>
        <v>0</v>
      </c>
      <c r="X75" s="11"/>
      <c r="Y75" s="11">
        <f t="shared" si="13"/>
        <v>0</v>
      </c>
      <c r="Z75" s="10">
        <f>IF(Inställningar!$B$5="",0,Inställningar!$B$5)</f>
        <v>850</v>
      </c>
      <c r="AA75" s="10">
        <f t="shared" si="14"/>
        <v>0</v>
      </c>
      <c r="AB75" s="4"/>
      <c r="AC75" s="13">
        <f>IF(Inställningar!$B$6="",0,Inställningar!$B$6)</f>
        <v>0.15</v>
      </c>
      <c r="AD75" s="10">
        <f t="shared" si="15"/>
        <v>0</v>
      </c>
      <c r="AE75" s="12"/>
    </row>
    <row r="76" spans="1:3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12"/>
      <c r="R76" s="12"/>
      <c r="S76" s="12"/>
      <c r="T76" s="12"/>
      <c r="U76" s="12"/>
      <c r="V76" s="18"/>
      <c r="W76" s="10">
        <f t="shared" si="12"/>
        <v>0</v>
      </c>
      <c r="X76" s="11"/>
      <c r="Y76" s="11">
        <f t="shared" si="13"/>
        <v>0</v>
      </c>
      <c r="Z76" s="10">
        <f>IF(Inställningar!$B$5="",0,Inställningar!$B$5)</f>
        <v>850</v>
      </c>
      <c r="AA76" s="10">
        <f t="shared" si="14"/>
        <v>0</v>
      </c>
      <c r="AB76" s="4"/>
      <c r="AC76" s="13">
        <f>IF(Inställningar!$B$6="",0,Inställningar!$B$6)</f>
        <v>0.15</v>
      </c>
      <c r="AD76" s="10">
        <f t="shared" si="15"/>
        <v>0</v>
      </c>
      <c r="AE76" s="12"/>
    </row>
    <row r="77" spans="1:31" ht="15">
      <c r="A77" s="2" t="s">
        <v>261</v>
      </c>
      <c r="B77" s="2" t="s">
        <v>262</v>
      </c>
      <c r="C77" s="2" t="s">
        <v>126</v>
      </c>
      <c r="D77" s="2" t="s">
        <v>116</v>
      </c>
      <c r="E77" s="2" t="s">
        <v>263</v>
      </c>
      <c r="F77" s="2" t="s">
        <v>264</v>
      </c>
      <c r="G77" s="2" t="s">
        <v>265</v>
      </c>
      <c r="H77" s="2" t="s">
        <v>17</v>
      </c>
      <c r="I77" s="3"/>
      <c r="J77" s="3"/>
      <c r="K77" s="3"/>
      <c r="L77" s="3"/>
      <c r="M77" s="3"/>
      <c r="N77" s="3"/>
      <c r="O77" s="3"/>
      <c r="P77" s="3"/>
      <c r="Q77" s="12"/>
      <c r="R77" s="12"/>
      <c r="S77" s="12"/>
      <c r="T77" s="12"/>
      <c r="U77" s="12"/>
      <c r="V77" s="18"/>
      <c r="W77" s="10">
        <f t="shared" si="12"/>
        <v>0</v>
      </c>
      <c r="X77" s="11"/>
      <c r="Y77" s="11">
        <f t="shared" si="13"/>
        <v>0</v>
      </c>
      <c r="Z77" s="10">
        <f>IF(Inställningar!$B$5="",0,Inställningar!$B$5)</f>
        <v>850</v>
      </c>
      <c r="AA77" s="10">
        <f t="shared" si="14"/>
        <v>0</v>
      </c>
      <c r="AB77" s="4"/>
      <c r="AC77" s="13">
        <f>IF(Inställningar!$B$6="",0,Inställningar!$B$6)</f>
        <v>0.15</v>
      </c>
      <c r="AD77" s="10">
        <f t="shared" si="15"/>
        <v>0</v>
      </c>
      <c r="AE77" s="12"/>
    </row>
    <row r="78" spans="1:31" ht="28.5">
      <c r="A78" s="3" t="s">
        <v>81</v>
      </c>
      <c r="B78" s="3" t="s">
        <v>81</v>
      </c>
      <c r="C78" s="3" t="s">
        <v>125</v>
      </c>
      <c r="D78" s="3" t="s">
        <v>114</v>
      </c>
      <c r="E78" s="3">
        <v>1</v>
      </c>
      <c r="F78" s="3">
        <v>1</v>
      </c>
      <c r="G78" s="3" t="s">
        <v>114</v>
      </c>
      <c r="H78" s="3" t="s">
        <v>266</v>
      </c>
      <c r="I78" s="3"/>
      <c r="J78" s="3"/>
      <c r="K78" s="3"/>
      <c r="L78" s="3"/>
      <c r="M78" s="3"/>
      <c r="N78" s="3"/>
      <c r="O78" s="3"/>
      <c r="P78" s="3"/>
      <c r="Q78" s="12"/>
      <c r="R78" s="12"/>
      <c r="S78" s="12"/>
      <c r="T78" s="12"/>
      <c r="U78" s="12"/>
      <c r="V78" s="18"/>
      <c r="W78" s="10">
        <f t="shared" si="12"/>
        <v>0</v>
      </c>
      <c r="X78" s="11"/>
      <c r="Y78" s="11">
        <f t="shared" si="13"/>
        <v>0</v>
      </c>
      <c r="Z78" s="10">
        <f>IF(Inställningar!$B$5="",0,Inställningar!$B$5)</f>
        <v>850</v>
      </c>
      <c r="AA78" s="10">
        <f t="shared" si="14"/>
        <v>0</v>
      </c>
      <c r="AB78" s="4"/>
      <c r="AC78" s="13">
        <f>IF(Inställningar!$B$6="",0,Inställningar!$B$6)</f>
        <v>0.15</v>
      </c>
      <c r="AD78" s="10">
        <f t="shared" si="15"/>
        <v>0</v>
      </c>
      <c r="AE78" s="12"/>
    </row>
    <row r="79" spans="1:31" ht="28.5">
      <c r="A79" s="3" t="s">
        <v>92</v>
      </c>
      <c r="B79" s="3" t="s">
        <v>109</v>
      </c>
      <c r="C79" s="3" t="s">
        <v>130</v>
      </c>
      <c r="D79" s="3" t="s">
        <v>114</v>
      </c>
      <c r="E79" s="3">
        <v>2</v>
      </c>
      <c r="F79" s="3">
        <v>2</v>
      </c>
      <c r="G79" s="3" t="s">
        <v>114</v>
      </c>
      <c r="H79" s="3" t="s">
        <v>266</v>
      </c>
      <c r="I79" s="3"/>
      <c r="J79" s="3"/>
      <c r="K79" s="3"/>
      <c r="L79" s="3"/>
      <c r="M79" s="3"/>
      <c r="N79" s="3"/>
      <c r="O79" s="3"/>
      <c r="P79" s="3"/>
      <c r="Q79" s="12"/>
      <c r="R79" s="12"/>
      <c r="S79" s="12"/>
      <c r="T79" s="12"/>
      <c r="U79" s="12"/>
      <c r="V79" s="18"/>
      <c r="W79" s="10">
        <f t="shared" si="12"/>
        <v>0</v>
      </c>
      <c r="X79" s="11"/>
      <c r="Y79" s="11">
        <f t="shared" si="13"/>
        <v>0</v>
      </c>
      <c r="Z79" s="10">
        <f>IF(Inställningar!$B$5="",0,Inställningar!$B$5)</f>
        <v>850</v>
      </c>
      <c r="AA79" s="10">
        <f t="shared" si="14"/>
        <v>0</v>
      </c>
      <c r="AB79" s="4"/>
      <c r="AC79" s="13">
        <f>IF(Inställningar!$B$6="",0,Inställningar!$B$6)</f>
        <v>0.15</v>
      </c>
      <c r="AD79" s="10">
        <f t="shared" si="15"/>
        <v>0</v>
      </c>
      <c r="AE79" s="12"/>
    </row>
    <row r="80" spans="1:31" ht="28.5">
      <c r="A80" s="3" t="s">
        <v>96</v>
      </c>
      <c r="B80" s="3" t="s">
        <v>109</v>
      </c>
      <c r="C80" s="3" t="s">
        <v>130</v>
      </c>
      <c r="D80" s="3" t="s">
        <v>119</v>
      </c>
      <c r="E80" s="3"/>
      <c r="F80" s="3"/>
      <c r="G80" s="3" t="s">
        <v>114</v>
      </c>
      <c r="H80" s="3" t="s">
        <v>267</v>
      </c>
      <c r="I80" s="3"/>
      <c r="J80" s="3"/>
      <c r="K80" s="3"/>
      <c r="L80" s="3"/>
      <c r="M80" s="3"/>
      <c r="N80" s="3"/>
      <c r="O80" s="3"/>
      <c r="P80" s="3"/>
      <c r="Q80" s="12"/>
      <c r="R80" s="12"/>
      <c r="S80" s="12"/>
      <c r="T80" s="12"/>
      <c r="U80" s="12"/>
      <c r="V80" s="18"/>
      <c r="W80" s="10">
        <f t="shared" si="12"/>
        <v>0</v>
      </c>
      <c r="X80" s="11"/>
      <c r="Y80" s="11">
        <f t="shared" si="13"/>
        <v>0</v>
      </c>
      <c r="Z80" s="10">
        <f>IF(Inställningar!$B$5="",0,Inställningar!$B$5)</f>
        <v>850</v>
      </c>
      <c r="AA80" s="10">
        <f t="shared" si="14"/>
        <v>0</v>
      </c>
      <c r="AB80" s="4"/>
      <c r="AC80" s="13">
        <f>IF(Inställningar!$B$6="",0,Inställningar!$B$6)</f>
        <v>0.15</v>
      </c>
      <c r="AD80" s="10">
        <f t="shared" si="15"/>
        <v>0</v>
      </c>
      <c r="AE80" s="12"/>
    </row>
    <row r="81" spans="1:31" ht="28.5">
      <c r="A81" s="3" t="s">
        <v>100</v>
      </c>
      <c r="B81" s="3" t="s">
        <v>109</v>
      </c>
      <c r="C81" s="3" t="s">
        <v>130</v>
      </c>
      <c r="D81" s="3"/>
      <c r="E81" s="3"/>
      <c r="F81" s="3"/>
      <c r="G81" s="3" t="s">
        <v>165</v>
      </c>
      <c r="H81" s="3" t="s">
        <v>268</v>
      </c>
      <c r="I81" s="3"/>
      <c r="J81" s="3"/>
      <c r="K81" s="3"/>
      <c r="L81" s="3"/>
      <c r="M81" s="3"/>
      <c r="N81" s="3"/>
      <c r="O81" s="3"/>
      <c r="P81" s="3"/>
      <c r="Q81" s="12"/>
      <c r="R81" s="12"/>
      <c r="S81" s="12"/>
      <c r="T81" s="12"/>
      <c r="U81" s="12"/>
      <c r="V81" s="18"/>
      <c r="W81" s="10">
        <f t="shared" si="12"/>
        <v>0</v>
      </c>
      <c r="X81" s="11"/>
      <c r="Y81" s="11">
        <f t="shared" si="13"/>
        <v>0</v>
      </c>
      <c r="Z81" s="10">
        <f>IF(Inställningar!$B$5="",0,Inställningar!$B$5)</f>
        <v>850</v>
      </c>
      <c r="AA81" s="10">
        <f t="shared" si="14"/>
        <v>0</v>
      </c>
      <c r="AB81" s="4"/>
      <c r="AC81" s="13">
        <f>IF(Inställningar!$B$6="",0,Inställningar!$B$6)</f>
        <v>0.15</v>
      </c>
      <c r="AD81" s="10">
        <f t="shared" si="15"/>
        <v>0</v>
      </c>
      <c r="AE81" s="12"/>
    </row>
    <row r="82" spans="1:3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12"/>
      <c r="R82" s="12"/>
      <c r="S82" s="12"/>
      <c r="T82" s="12"/>
      <c r="U82" s="12"/>
      <c r="V82" s="18"/>
      <c r="W82" s="10">
        <f t="shared" si="12"/>
        <v>0</v>
      </c>
      <c r="X82" s="11"/>
      <c r="Y82" s="11">
        <f t="shared" si="13"/>
        <v>0</v>
      </c>
      <c r="Z82" s="10">
        <f>IF(Inställningar!$B$5="",0,Inställningar!$B$5)</f>
        <v>850</v>
      </c>
      <c r="AA82" s="10">
        <f t="shared" si="14"/>
        <v>0</v>
      </c>
      <c r="AB82" s="4"/>
      <c r="AC82" s="13">
        <f>IF(Inställningar!$B$6="",0,Inställningar!$B$6)</f>
        <v>0.15</v>
      </c>
      <c r="AD82" s="10">
        <f t="shared" si="15"/>
        <v>0</v>
      </c>
      <c r="AE82" s="12"/>
    </row>
    <row r="83" spans="1:3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12"/>
      <c r="R83" s="12"/>
      <c r="S83" s="12"/>
      <c r="T83" s="12"/>
      <c r="U83" s="12"/>
      <c r="V83" s="18"/>
      <c r="W83" s="10">
        <f t="shared" si="12"/>
        <v>0</v>
      </c>
      <c r="X83" s="11"/>
      <c r="Y83" s="11">
        <f t="shared" si="13"/>
        <v>0</v>
      </c>
      <c r="Z83" s="10">
        <f>IF(Inställningar!$B$5="",0,Inställningar!$B$5)</f>
        <v>850</v>
      </c>
      <c r="AA83" s="10">
        <f t="shared" si="14"/>
        <v>0</v>
      </c>
      <c r="AB83" s="4"/>
      <c r="AC83" s="13">
        <f>IF(Inställningar!$B$6="",0,Inställningar!$B$6)</f>
        <v>0.15</v>
      </c>
      <c r="AD83" s="10">
        <f t="shared" si="15"/>
        <v>0</v>
      </c>
      <c r="AE83" s="12"/>
    </row>
    <row r="84" spans="1:31" ht="30">
      <c r="A84" s="2" t="s">
        <v>269</v>
      </c>
      <c r="B84" s="2" t="s">
        <v>270</v>
      </c>
      <c r="C84" s="2" t="s">
        <v>271</v>
      </c>
      <c r="D84" s="2" t="s">
        <v>272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12"/>
      <c r="R84" s="12"/>
      <c r="S84" s="12"/>
      <c r="T84" s="12"/>
      <c r="U84" s="12"/>
      <c r="V84" s="18"/>
      <c r="W84" s="10">
        <f t="shared" si="12"/>
        <v>0</v>
      </c>
      <c r="X84" s="11"/>
      <c r="Y84" s="11">
        <f t="shared" si="13"/>
        <v>0</v>
      </c>
      <c r="Z84" s="10">
        <f>IF(Inställningar!$B$5="",0,Inställningar!$B$5)</f>
        <v>850</v>
      </c>
      <c r="AA84" s="10">
        <f t="shared" si="14"/>
        <v>0</v>
      </c>
      <c r="AB84" s="4"/>
      <c r="AC84" s="13">
        <f>IF(Inställningar!$B$6="",0,Inställningar!$B$6)</f>
        <v>0.15</v>
      </c>
      <c r="AD84" s="10">
        <f t="shared" si="15"/>
        <v>0</v>
      </c>
      <c r="AE84" s="12"/>
    </row>
    <row r="85" spans="1:31" ht="28.5">
      <c r="A85" s="3" t="s">
        <v>273</v>
      </c>
      <c r="B85" s="3" t="s">
        <v>274</v>
      </c>
      <c r="C85" s="3" t="s">
        <v>275</v>
      </c>
      <c r="D85" s="3" t="s">
        <v>276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12"/>
      <c r="R85" s="12"/>
      <c r="S85" s="12"/>
      <c r="T85" s="12"/>
      <c r="U85" s="12"/>
      <c r="V85" s="18"/>
      <c r="W85" s="10">
        <f t="shared" si="12"/>
        <v>0</v>
      </c>
      <c r="X85" s="11"/>
      <c r="Y85" s="11">
        <f t="shared" si="13"/>
        <v>0</v>
      </c>
      <c r="Z85" s="10">
        <f>IF(Inställningar!$B$5="",0,Inställningar!$B$5)</f>
        <v>850</v>
      </c>
      <c r="AA85" s="10">
        <f t="shared" si="14"/>
        <v>0</v>
      </c>
      <c r="AB85" s="4"/>
      <c r="AC85" s="13">
        <f>IF(Inställningar!$B$6="",0,Inställningar!$B$6)</f>
        <v>0.15</v>
      </c>
      <c r="AD85" s="10">
        <f t="shared" si="15"/>
        <v>0</v>
      </c>
      <c r="AE85" s="12"/>
    </row>
    <row r="86" spans="1:31" ht="28.5">
      <c r="A86" s="3" t="s">
        <v>277</v>
      </c>
      <c r="B86" s="3" t="s">
        <v>278</v>
      </c>
      <c r="C86" s="3" t="s">
        <v>279</v>
      </c>
      <c r="D86" s="3" t="s">
        <v>276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12"/>
      <c r="R86" s="12"/>
      <c r="S86" s="12"/>
      <c r="T86" s="12"/>
      <c r="U86" s="12"/>
      <c r="V86" s="18"/>
      <c r="W86" s="10">
        <f t="shared" si="12"/>
        <v>0</v>
      </c>
      <c r="X86" s="11"/>
      <c r="Y86" s="11">
        <f t="shared" si="13"/>
        <v>0</v>
      </c>
      <c r="Z86" s="10">
        <f>IF(Inställningar!$B$5="",0,Inställningar!$B$5)</f>
        <v>850</v>
      </c>
      <c r="AA86" s="10">
        <f t="shared" si="14"/>
        <v>0</v>
      </c>
      <c r="AB86" s="4"/>
      <c r="AC86" s="13">
        <f>IF(Inställningar!$B$6="",0,Inställningar!$B$6)</f>
        <v>0.15</v>
      </c>
      <c r="AD86" s="10">
        <f t="shared" si="15"/>
        <v>0</v>
      </c>
      <c r="AE86" s="12"/>
    </row>
    <row r="87" spans="1:3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12"/>
      <c r="R87" s="12"/>
      <c r="S87" s="12"/>
      <c r="T87" s="12"/>
      <c r="U87" s="12"/>
      <c r="V87" s="18"/>
      <c r="W87" s="10">
        <f t="shared" si="12"/>
        <v>0</v>
      </c>
      <c r="X87" s="11"/>
      <c r="Y87" s="11">
        <f t="shared" si="13"/>
        <v>0</v>
      </c>
      <c r="Z87" s="10">
        <f>IF(Inställningar!$B$5="",0,Inställningar!$B$5)</f>
        <v>850</v>
      </c>
      <c r="AA87" s="10">
        <f t="shared" si="14"/>
        <v>0</v>
      </c>
      <c r="AB87" s="4"/>
      <c r="AC87" s="13">
        <f>IF(Inställningar!$B$6="",0,Inställningar!$B$6)</f>
        <v>0.15</v>
      </c>
      <c r="AD87" s="10">
        <f t="shared" si="15"/>
        <v>0</v>
      </c>
      <c r="AE87" s="12"/>
    </row>
    <row r="88" spans="1:3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2"/>
      <c r="R88" s="12"/>
      <c r="S88" s="12"/>
      <c r="T88" s="12"/>
      <c r="U88" s="12"/>
      <c r="V88" s="18"/>
      <c r="W88" s="10">
        <f t="shared" si="12"/>
        <v>0</v>
      </c>
      <c r="X88" s="11"/>
      <c r="Y88" s="11">
        <f t="shared" si="13"/>
        <v>0</v>
      </c>
      <c r="Z88" s="10">
        <f>IF(Inställningar!$B$5="",0,Inställningar!$B$5)</f>
        <v>850</v>
      </c>
      <c r="AA88" s="10">
        <f t="shared" si="14"/>
        <v>0</v>
      </c>
      <c r="AB88" s="4"/>
      <c r="AC88" s="13">
        <f>IF(Inställningar!$B$6="",0,Inställningar!$B$6)</f>
        <v>0.15</v>
      </c>
      <c r="AD88" s="10">
        <f t="shared" si="15"/>
        <v>0</v>
      </c>
      <c r="AE88" s="12"/>
    </row>
    <row r="89" spans="1:3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2"/>
      <c r="R89" s="12"/>
      <c r="S89" s="12"/>
      <c r="T89" s="12"/>
      <c r="U89" s="12"/>
      <c r="V89" s="18"/>
      <c r="W89" s="10">
        <f t="shared" si="12"/>
        <v>0</v>
      </c>
      <c r="X89" s="11"/>
      <c r="Y89" s="11">
        <f t="shared" si="13"/>
        <v>0</v>
      </c>
      <c r="Z89" s="10">
        <f>IF(Inställningar!$B$5="",0,Inställningar!$B$5)</f>
        <v>850</v>
      </c>
      <c r="AA89" s="10">
        <f t="shared" si="14"/>
        <v>0</v>
      </c>
      <c r="AB89" s="4"/>
      <c r="AC89" s="13">
        <f>IF(Inställningar!$B$6="",0,Inställningar!$B$6)</f>
        <v>0.15</v>
      </c>
      <c r="AD89" s="10">
        <f t="shared" si="15"/>
        <v>0</v>
      </c>
      <c r="AE89" s="12"/>
    </row>
    <row r="90" spans="1:3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12"/>
      <c r="R90" s="12"/>
      <c r="S90" s="12"/>
      <c r="T90" s="12"/>
      <c r="U90" s="12"/>
      <c r="V90" s="18"/>
      <c r="W90" s="10">
        <f t="shared" si="12"/>
        <v>0</v>
      </c>
      <c r="X90" s="11"/>
      <c r="Y90" s="11">
        <f t="shared" si="13"/>
        <v>0</v>
      </c>
      <c r="Z90" s="10">
        <f>IF(Inställningar!$B$5="",0,Inställningar!$B$5)</f>
        <v>850</v>
      </c>
      <c r="AA90" s="10">
        <f t="shared" si="14"/>
        <v>0</v>
      </c>
      <c r="AB90" s="4"/>
      <c r="AC90" s="13">
        <f>IF(Inställningar!$B$6="",0,Inställningar!$B$6)</f>
        <v>0.15</v>
      </c>
      <c r="AD90" s="10">
        <f t="shared" si="15"/>
        <v>0</v>
      </c>
      <c r="AE90" s="12"/>
    </row>
    <row r="91" spans="1:3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12"/>
      <c r="R91" s="12"/>
      <c r="S91" s="12"/>
      <c r="T91" s="12"/>
      <c r="U91" s="12"/>
      <c r="V91" s="18"/>
      <c r="W91" s="10">
        <f t="shared" si="12"/>
        <v>0</v>
      </c>
      <c r="X91" s="11"/>
      <c r="Y91" s="11">
        <f t="shared" si="13"/>
        <v>0</v>
      </c>
      <c r="Z91" s="10">
        <f>IF(Inställningar!$B$5="",0,Inställningar!$B$5)</f>
        <v>850</v>
      </c>
      <c r="AA91" s="10">
        <f t="shared" si="14"/>
        <v>0</v>
      </c>
      <c r="AB91" s="4"/>
      <c r="AC91" s="13">
        <f>IF(Inställningar!$B$6="",0,Inställningar!$B$6)</f>
        <v>0.15</v>
      </c>
      <c r="AD91" s="10">
        <f t="shared" si="15"/>
        <v>0</v>
      </c>
      <c r="AE91" s="12"/>
    </row>
    <row r="92" spans="1:3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12"/>
      <c r="R92" s="12"/>
      <c r="S92" s="12"/>
      <c r="T92" s="12"/>
      <c r="U92" s="12"/>
      <c r="V92" s="18"/>
      <c r="W92" s="10">
        <f t="shared" si="12"/>
        <v>0</v>
      </c>
      <c r="X92" s="11"/>
      <c r="Y92" s="11">
        <f t="shared" si="13"/>
        <v>0</v>
      </c>
      <c r="Z92" s="10">
        <f>IF(Inställningar!$B$5="",0,Inställningar!$B$5)</f>
        <v>850</v>
      </c>
      <c r="AA92" s="10">
        <f t="shared" si="14"/>
        <v>0</v>
      </c>
      <c r="AB92" s="4"/>
      <c r="AC92" s="13">
        <f>IF(Inställningar!$B$6="",0,Inställningar!$B$6)</f>
        <v>0.15</v>
      </c>
      <c r="AD92" s="10">
        <f t="shared" si="15"/>
        <v>0</v>
      </c>
      <c r="AE92" s="12"/>
    </row>
    <row r="93" spans="1:3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12"/>
      <c r="R93" s="12"/>
      <c r="S93" s="12"/>
      <c r="T93" s="12"/>
      <c r="U93" s="12"/>
      <c r="V93" s="18"/>
      <c r="W93" s="10">
        <f t="shared" si="12"/>
        <v>0</v>
      </c>
      <c r="X93" s="11"/>
      <c r="Y93" s="11">
        <f t="shared" si="13"/>
        <v>0</v>
      </c>
      <c r="Z93" s="10">
        <f>IF(Inställningar!$B$5="",0,Inställningar!$B$5)</f>
        <v>850</v>
      </c>
      <c r="AA93" s="10">
        <f t="shared" si="14"/>
        <v>0</v>
      </c>
      <c r="AB93" s="4"/>
      <c r="AC93" s="13">
        <f>IF(Inställningar!$B$6="",0,Inställningar!$B$6)</f>
        <v>0.15</v>
      </c>
      <c r="AD93" s="10">
        <f t="shared" si="15"/>
        <v>0</v>
      </c>
      <c r="AE93" s="12"/>
    </row>
    <row r="94" spans="1:3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12"/>
      <c r="R94" s="12"/>
      <c r="S94" s="12"/>
      <c r="T94" s="12"/>
      <c r="U94" s="12"/>
      <c r="V94" s="18"/>
      <c r="W94" s="10">
        <f t="shared" si="12"/>
        <v>0</v>
      </c>
      <c r="X94" s="11"/>
      <c r="Y94" s="11">
        <f t="shared" si="13"/>
        <v>0</v>
      </c>
      <c r="Z94" s="10">
        <f>IF(Inställningar!$B$5="",0,Inställningar!$B$5)</f>
        <v>850</v>
      </c>
      <c r="AA94" s="10">
        <f t="shared" si="14"/>
        <v>0</v>
      </c>
      <c r="AB94" s="4"/>
      <c r="AC94" s="13">
        <f>IF(Inställningar!$B$6="",0,Inställningar!$B$6)</f>
        <v>0.15</v>
      </c>
      <c r="AD94" s="10">
        <f t="shared" si="15"/>
        <v>0</v>
      </c>
      <c r="AE94" s="12"/>
    </row>
    <row r="95" spans="1:3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12"/>
      <c r="R95" s="12"/>
      <c r="S95" s="12"/>
      <c r="T95" s="12"/>
      <c r="U95" s="12"/>
      <c r="V95" s="18"/>
      <c r="W95" s="10">
        <f t="shared" si="12"/>
        <v>0</v>
      </c>
      <c r="X95" s="11"/>
      <c r="Y95" s="11">
        <f t="shared" si="13"/>
        <v>0</v>
      </c>
      <c r="Z95" s="10">
        <f>IF(Inställningar!$B$5="",0,Inställningar!$B$5)</f>
        <v>850</v>
      </c>
      <c r="AA95" s="10">
        <f t="shared" si="14"/>
        <v>0</v>
      </c>
      <c r="AB95" s="4"/>
      <c r="AC95" s="13">
        <f>IF(Inställningar!$B$6="",0,Inställningar!$B$6)</f>
        <v>0.15</v>
      </c>
      <c r="AD95" s="10">
        <f t="shared" si="15"/>
        <v>0</v>
      </c>
      <c r="AE95" s="12"/>
    </row>
    <row r="96" spans="1:3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12"/>
      <c r="R96" s="12"/>
      <c r="S96" s="12"/>
      <c r="T96" s="12"/>
      <c r="U96" s="12"/>
      <c r="V96" s="18"/>
      <c r="W96" s="10">
        <f t="shared" si="12"/>
        <v>0</v>
      </c>
      <c r="X96" s="11"/>
      <c r="Y96" s="11">
        <f t="shared" si="13"/>
        <v>0</v>
      </c>
      <c r="Z96" s="10">
        <f>IF(Inställningar!$B$5="",0,Inställningar!$B$5)</f>
        <v>850</v>
      </c>
      <c r="AA96" s="10">
        <f t="shared" si="14"/>
        <v>0</v>
      </c>
      <c r="AB96" s="4"/>
      <c r="AC96" s="13">
        <f>IF(Inställningar!$B$6="",0,Inställningar!$B$6)</f>
        <v>0.15</v>
      </c>
      <c r="AD96" s="10">
        <f t="shared" si="15"/>
        <v>0</v>
      </c>
      <c r="AE96" s="12"/>
    </row>
    <row r="97" spans="1:3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2"/>
      <c r="R97" s="12"/>
      <c r="S97" s="12"/>
      <c r="T97" s="12"/>
      <c r="U97" s="12"/>
      <c r="V97" s="18"/>
      <c r="W97" s="10">
        <f t="shared" si="12"/>
        <v>0</v>
      </c>
      <c r="X97" s="11"/>
      <c r="Y97" s="11">
        <f t="shared" si="13"/>
        <v>0</v>
      </c>
      <c r="Z97" s="10">
        <f>IF(Inställningar!$B$5="",0,Inställningar!$B$5)</f>
        <v>850</v>
      </c>
      <c r="AA97" s="10">
        <f t="shared" si="14"/>
        <v>0</v>
      </c>
      <c r="AB97" s="4"/>
      <c r="AC97" s="13">
        <f>IF(Inställningar!$B$6="",0,Inställningar!$B$6)</f>
        <v>0.15</v>
      </c>
      <c r="AD97" s="10">
        <f t="shared" si="15"/>
        <v>0</v>
      </c>
      <c r="AE97" s="12"/>
    </row>
    <row r="98" spans="1:3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12"/>
      <c r="R98" s="12"/>
      <c r="S98" s="12"/>
      <c r="T98" s="12"/>
      <c r="U98" s="12"/>
      <c r="V98" s="18"/>
      <c r="W98" s="10">
        <f t="shared" si="12"/>
        <v>0</v>
      </c>
      <c r="X98" s="11"/>
      <c r="Y98" s="11">
        <f t="shared" si="13"/>
        <v>0</v>
      </c>
      <c r="Z98" s="10">
        <f>IF(Inställningar!$B$5="",0,Inställningar!$B$5)</f>
        <v>850</v>
      </c>
      <c r="AA98" s="10">
        <f t="shared" si="14"/>
        <v>0</v>
      </c>
      <c r="AB98" s="4"/>
      <c r="AC98" s="13">
        <f>IF(Inställningar!$B$6="",0,Inställningar!$B$6)</f>
        <v>0.15</v>
      </c>
      <c r="AD98" s="10">
        <f t="shared" si="15"/>
        <v>0</v>
      </c>
      <c r="AE98" s="12"/>
    </row>
    <row r="99" spans="1:3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2"/>
      <c r="R99" s="12"/>
      <c r="S99" s="12"/>
      <c r="T99" s="12"/>
      <c r="U99" s="12"/>
      <c r="V99" s="18"/>
      <c r="W99" s="10">
        <f t="shared" si="12"/>
        <v>0</v>
      </c>
      <c r="X99" s="11"/>
      <c r="Y99" s="11">
        <f t="shared" si="13"/>
        <v>0</v>
      </c>
      <c r="Z99" s="10">
        <f>IF(Inställningar!$B$5="",0,Inställningar!$B$5)</f>
        <v>850</v>
      </c>
      <c r="AA99" s="10">
        <f t="shared" si="14"/>
        <v>0</v>
      </c>
      <c r="AB99" s="4"/>
      <c r="AC99" s="13">
        <f>IF(Inställningar!$B$6="",0,Inställningar!$B$6)</f>
        <v>0.15</v>
      </c>
      <c r="AD99" s="10">
        <f t="shared" si="15"/>
        <v>0</v>
      </c>
      <c r="AE99" s="12"/>
    </row>
    <row r="100" spans="1:3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2"/>
      <c r="R100" s="12"/>
      <c r="S100" s="12"/>
      <c r="T100" s="12"/>
      <c r="U100" s="12"/>
      <c r="V100" s="18"/>
      <c r="W100" s="10">
        <f t="shared" si="12"/>
        <v>0</v>
      </c>
      <c r="X100" s="11"/>
      <c r="Y100" s="11">
        <f t="shared" si="13"/>
        <v>0</v>
      </c>
      <c r="Z100" s="10">
        <f>IF(Inställningar!$B$5="",0,Inställningar!$B$5)</f>
        <v>850</v>
      </c>
      <c r="AA100" s="10">
        <f t="shared" si="14"/>
        <v>0</v>
      </c>
      <c r="AB100" s="4"/>
      <c r="AC100" s="13">
        <f>IF(Inställningar!$B$6="",0,Inställningar!$B$6)</f>
        <v>0.15</v>
      </c>
      <c r="AD100" s="10">
        <f t="shared" si="15"/>
        <v>0</v>
      </c>
      <c r="AE100" s="12"/>
    </row>
    <row r="101" spans="1:3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2"/>
      <c r="R101" s="12"/>
      <c r="S101" s="12"/>
      <c r="T101" s="12"/>
      <c r="U101" s="12"/>
      <c r="V101" s="18"/>
      <c r="W101" s="10">
        <f t="shared" si="12"/>
        <v>0</v>
      </c>
      <c r="X101" s="11"/>
      <c r="Y101" s="11">
        <f t="shared" si="13"/>
        <v>0</v>
      </c>
      <c r="Z101" s="10">
        <f>IF(Inställningar!$B$5="",0,Inställningar!$B$5)</f>
        <v>850</v>
      </c>
      <c r="AA101" s="10">
        <f t="shared" si="14"/>
        <v>0</v>
      </c>
      <c r="AB101" s="4"/>
      <c r="AC101" s="13">
        <f>IF(Inställningar!$B$6="",0,Inställningar!$B$6)</f>
        <v>0.15</v>
      </c>
      <c r="AD101" s="10">
        <f t="shared" si="15"/>
        <v>0</v>
      </c>
      <c r="AE101" s="12"/>
    </row>
    <row r="102" spans="1:3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2"/>
      <c r="R102" s="12"/>
      <c r="S102" s="12"/>
      <c r="T102" s="12"/>
      <c r="U102" s="12"/>
      <c r="V102" s="18"/>
      <c r="W102" s="10">
        <f t="shared" si="12"/>
        <v>0</v>
      </c>
      <c r="X102" s="11"/>
      <c r="Y102" s="11">
        <f t="shared" si="13"/>
        <v>0</v>
      </c>
      <c r="Z102" s="10">
        <f>IF(Inställningar!$B$5="",0,Inställningar!$B$5)</f>
        <v>850</v>
      </c>
      <c r="AA102" s="10">
        <f t="shared" si="14"/>
        <v>0</v>
      </c>
      <c r="AB102" s="4"/>
      <c r="AC102" s="13">
        <f>IF(Inställningar!$B$6="",0,Inställningar!$B$6)</f>
        <v>0.15</v>
      </c>
      <c r="AD102" s="10">
        <f t="shared" si="15"/>
        <v>0</v>
      </c>
      <c r="AE102" s="12"/>
    </row>
    <row r="103" spans="1:3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2"/>
      <c r="R103" s="12"/>
      <c r="S103" s="12"/>
      <c r="T103" s="12"/>
      <c r="U103" s="12"/>
      <c r="V103" s="18"/>
      <c r="W103" s="10">
        <f t="shared" ref="W103:W134" si="16">IF(OR(T103="",V103=""),0,T103*V103)</f>
        <v>0</v>
      </c>
      <c r="X103" s="11"/>
      <c r="Y103" s="11">
        <f t="shared" ref="Y103:Y134" si="17">IF(OR(T103="",X103=""),0,T103*X103)</f>
        <v>0</v>
      </c>
      <c r="Z103" s="10">
        <f>IF(Inställningar!$B$5="",0,Inställningar!$B$5)</f>
        <v>850</v>
      </c>
      <c r="AA103" s="10">
        <f t="shared" ref="AA103:AA134" si="18">Y103*Z103</f>
        <v>0</v>
      </c>
      <c r="AB103" s="4"/>
      <c r="AC103" s="13">
        <f>IF(Inställningar!$B$6="",0,Inställningar!$B$6)</f>
        <v>0.15</v>
      </c>
      <c r="AD103" s="10">
        <f t="shared" ref="AD103:AD134" si="19">ROUND((W103+AA103+IF(AB103="",0,AB103))*(1+AC103),0)</f>
        <v>0</v>
      </c>
      <c r="AE103" s="12"/>
    </row>
    <row r="104" spans="1:3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2"/>
      <c r="R104" s="12"/>
      <c r="S104" s="12"/>
      <c r="T104" s="12"/>
      <c r="U104" s="12"/>
      <c r="V104" s="18"/>
      <c r="W104" s="10">
        <f t="shared" si="16"/>
        <v>0</v>
      </c>
      <c r="X104" s="11"/>
      <c r="Y104" s="11">
        <f t="shared" si="17"/>
        <v>0</v>
      </c>
      <c r="Z104" s="10">
        <f>IF(Inställningar!$B$5="",0,Inställningar!$B$5)</f>
        <v>850</v>
      </c>
      <c r="AA104" s="10">
        <f t="shared" si="18"/>
        <v>0</v>
      </c>
      <c r="AB104" s="4"/>
      <c r="AC104" s="13">
        <f>IF(Inställningar!$B$6="",0,Inställningar!$B$6)</f>
        <v>0.15</v>
      </c>
      <c r="AD104" s="10">
        <f t="shared" si="19"/>
        <v>0</v>
      </c>
      <c r="AE104" s="12"/>
    </row>
    <row r="105" spans="1:3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2"/>
      <c r="R105" s="12"/>
      <c r="S105" s="12"/>
      <c r="T105" s="12"/>
      <c r="U105" s="12"/>
      <c r="V105" s="18"/>
      <c r="W105" s="10">
        <f t="shared" si="16"/>
        <v>0</v>
      </c>
      <c r="X105" s="11"/>
      <c r="Y105" s="11">
        <f t="shared" si="17"/>
        <v>0</v>
      </c>
      <c r="Z105" s="10">
        <f>IF(Inställningar!$B$5="",0,Inställningar!$B$5)</f>
        <v>850</v>
      </c>
      <c r="AA105" s="10">
        <f t="shared" si="18"/>
        <v>0</v>
      </c>
      <c r="AB105" s="4"/>
      <c r="AC105" s="13">
        <f>IF(Inställningar!$B$6="",0,Inställningar!$B$6)</f>
        <v>0.15</v>
      </c>
      <c r="AD105" s="10">
        <f t="shared" si="19"/>
        <v>0</v>
      </c>
      <c r="AE105" s="12"/>
    </row>
    <row r="106" spans="1:3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2"/>
      <c r="R106" s="12"/>
      <c r="S106" s="12"/>
      <c r="T106" s="12"/>
      <c r="U106" s="12"/>
      <c r="V106" s="18"/>
      <c r="W106" s="10">
        <f t="shared" si="16"/>
        <v>0</v>
      </c>
      <c r="X106" s="11"/>
      <c r="Y106" s="11">
        <f t="shared" si="17"/>
        <v>0</v>
      </c>
      <c r="Z106" s="10">
        <f>IF(Inställningar!$B$5="",0,Inställningar!$B$5)</f>
        <v>850</v>
      </c>
      <c r="AA106" s="10">
        <f t="shared" si="18"/>
        <v>0</v>
      </c>
      <c r="AB106" s="4"/>
      <c r="AC106" s="13">
        <f>IF(Inställningar!$B$6="",0,Inställningar!$B$6)</f>
        <v>0.15</v>
      </c>
      <c r="AD106" s="10">
        <f t="shared" si="19"/>
        <v>0</v>
      </c>
      <c r="AE106" s="12"/>
    </row>
    <row r="107" spans="1:3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2"/>
      <c r="R107" s="12"/>
      <c r="S107" s="12"/>
      <c r="T107" s="12"/>
      <c r="U107" s="12"/>
      <c r="V107" s="18"/>
      <c r="W107" s="10">
        <f t="shared" si="16"/>
        <v>0</v>
      </c>
      <c r="X107" s="11"/>
      <c r="Y107" s="11">
        <f t="shared" si="17"/>
        <v>0</v>
      </c>
      <c r="Z107" s="10">
        <f>IF(Inställningar!$B$5="",0,Inställningar!$B$5)</f>
        <v>850</v>
      </c>
      <c r="AA107" s="10">
        <f t="shared" si="18"/>
        <v>0</v>
      </c>
      <c r="AB107" s="4"/>
      <c r="AC107" s="13">
        <f>IF(Inställningar!$B$6="",0,Inställningar!$B$6)</f>
        <v>0.15</v>
      </c>
      <c r="AD107" s="10">
        <f t="shared" si="19"/>
        <v>0</v>
      </c>
      <c r="AE107" s="12"/>
    </row>
    <row r="108" spans="1:3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2"/>
      <c r="R108" s="12"/>
      <c r="S108" s="12"/>
      <c r="T108" s="12"/>
      <c r="U108" s="12"/>
      <c r="V108" s="18"/>
      <c r="W108" s="10">
        <f t="shared" si="16"/>
        <v>0</v>
      </c>
      <c r="X108" s="11"/>
      <c r="Y108" s="11">
        <f t="shared" si="17"/>
        <v>0</v>
      </c>
      <c r="Z108" s="10">
        <f>IF(Inställningar!$B$5="",0,Inställningar!$B$5)</f>
        <v>850</v>
      </c>
      <c r="AA108" s="10">
        <f t="shared" si="18"/>
        <v>0</v>
      </c>
      <c r="AB108" s="4"/>
      <c r="AC108" s="13">
        <f>IF(Inställningar!$B$6="",0,Inställningar!$B$6)</f>
        <v>0.15</v>
      </c>
      <c r="AD108" s="10">
        <f t="shared" si="19"/>
        <v>0</v>
      </c>
      <c r="AE108" s="12"/>
    </row>
    <row r="109" spans="1:3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2"/>
      <c r="R109" s="12"/>
      <c r="S109" s="12"/>
      <c r="T109" s="12"/>
      <c r="U109" s="12"/>
      <c r="V109" s="18"/>
      <c r="W109" s="10">
        <f t="shared" si="16"/>
        <v>0</v>
      </c>
      <c r="X109" s="11"/>
      <c r="Y109" s="11">
        <f t="shared" si="17"/>
        <v>0</v>
      </c>
      <c r="Z109" s="10">
        <f>IF(Inställningar!$B$5="",0,Inställningar!$B$5)</f>
        <v>850</v>
      </c>
      <c r="AA109" s="10">
        <f t="shared" si="18"/>
        <v>0</v>
      </c>
      <c r="AB109" s="4"/>
      <c r="AC109" s="13">
        <f>IF(Inställningar!$B$6="",0,Inställningar!$B$6)</f>
        <v>0.15</v>
      </c>
      <c r="AD109" s="10">
        <f t="shared" si="19"/>
        <v>0</v>
      </c>
      <c r="AE109" s="12"/>
    </row>
    <row r="110" spans="1:3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2"/>
      <c r="R110" s="12"/>
      <c r="S110" s="12"/>
      <c r="T110" s="12"/>
      <c r="U110" s="12"/>
      <c r="V110" s="18"/>
      <c r="W110" s="10">
        <f t="shared" si="16"/>
        <v>0</v>
      </c>
      <c r="X110" s="11"/>
      <c r="Y110" s="11">
        <f t="shared" si="17"/>
        <v>0</v>
      </c>
      <c r="Z110" s="10">
        <f>IF(Inställningar!$B$5="",0,Inställningar!$B$5)</f>
        <v>850</v>
      </c>
      <c r="AA110" s="10">
        <f t="shared" si="18"/>
        <v>0</v>
      </c>
      <c r="AB110" s="4"/>
      <c r="AC110" s="13">
        <f>IF(Inställningar!$B$6="",0,Inställningar!$B$6)</f>
        <v>0.15</v>
      </c>
      <c r="AD110" s="10">
        <f t="shared" si="19"/>
        <v>0</v>
      </c>
      <c r="AE110" s="12"/>
    </row>
    <row r="111" spans="1:3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2"/>
      <c r="R111" s="12"/>
      <c r="S111" s="12"/>
      <c r="T111" s="12"/>
      <c r="U111" s="12"/>
      <c r="V111" s="18"/>
      <c r="W111" s="10">
        <f t="shared" si="16"/>
        <v>0</v>
      </c>
      <c r="X111" s="11"/>
      <c r="Y111" s="11">
        <f t="shared" si="17"/>
        <v>0</v>
      </c>
      <c r="Z111" s="10">
        <f>IF(Inställningar!$B$5="",0,Inställningar!$B$5)</f>
        <v>850</v>
      </c>
      <c r="AA111" s="10">
        <f t="shared" si="18"/>
        <v>0</v>
      </c>
      <c r="AB111" s="4"/>
      <c r="AC111" s="13">
        <f>IF(Inställningar!$B$6="",0,Inställningar!$B$6)</f>
        <v>0.15</v>
      </c>
      <c r="AD111" s="10">
        <f t="shared" si="19"/>
        <v>0</v>
      </c>
      <c r="AE111" s="12"/>
    </row>
    <row r="112" spans="1:3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2"/>
      <c r="R112" s="12"/>
      <c r="S112" s="12"/>
      <c r="T112" s="12"/>
      <c r="U112" s="12"/>
      <c r="V112" s="18"/>
      <c r="W112" s="10">
        <f t="shared" si="16"/>
        <v>0</v>
      </c>
      <c r="X112" s="11"/>
      <c r="Y112" s="11">
        <f t="shared" si="17"/>
        <v>0</v>
      </c>
      <c r="Z112" s="10">
        <f>IF(Inställningar!$B$5="",0,Inställningar!$B$5)</f>
        <v>850</v>
      </c>
      <c r="AA112" s="10">
        <f t="shared" si="18"/>
        <v>0</v>
      </c>
      <c r="AB112" s="4"/>
      <c r="AC112" s="13">
        <f>IF(Inställningar!$B$6="",0,Inställningar!$B$6)</f>
        <v>0.15</v>
      </c>
      <c r="AD112" s="10">
        <f t="shared" si="19"/>
        <v>0</v>
      </c>
      <c r="AE112" s="12"/>
    </row>
    <row r="113" spans="1:3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2"/>
      <c r="R113" s="12"/>
      <c r="S113" s="12"/>
      <c r="T113" s="12"/>
      <c r="U113" s="12"/>
      <c r="V113" s="18"/>
      <c r="W113" s="10">
        <f t="shared" si="16"/>
        <v>0</v>
      </c>
      <c r="X113" s="11"/>
      <c r="Y113" s="11">
        <f t="shared" si="17"/>
        <v>0</v>
      </c>
      <c r="Z113" s="10">
        <f>IF(Inställningar!$B$5="",0,Inställningar!$B$5)</f>
        <v>850</v>
      </c>
      <c r="AA113" s="10">
        <f t="shared" si="18"/>
        <v>0</v>
      </c>
      <c r="AB113" s="4"/>
      <c r="AC113" s="13">
        <f>IF(Inställningar!$B$6="",0,Inställningar!$B$6)</f>
        <v>0.15</v>
      </c>
      <c r="AD113" s="10">
        <f t="shared" si="19"/>
        <v>0</v>
      </c>
      <c r="AE113" s="12"/>
    </row>
    <row r="114" spans="1:3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2"/>
      <c r="R114" s="12"/>
      <c r="S114" s="12"/>
      <c r="T114" s="12"/>
      <c r="U114" s="12"/>
      <c r="V114" s="18"/>
      <c r="W114" s="10">
        <f t="shared" si="16"/>
        <v>0</v>
      </c>
      <c r="X114" s="11"/>
      <c r="Y114" s="11">
        <f t="shared" si="17"/>
        <v>0</v>
      </c>
      <c r="Z114" s="10">
        <f>IF(Inställningar!$B$5="",0,Inställningar!$B$5)</f>
        <v>850</v>
      </c>
      <c r="AA114" s="10">
        <f t="shared" si="18"/>
        <v>0</v>
      </c>
      <c r="AB114" s="4"/>
      <c r="AC114" s="13">
        <f>IF(Inställningar!$B$6="",0,Inställningar!$B$6)</f>
        <v>0.15</v>
      </c>
      <c r="AD114" s="10">
        <f t="shared" si="19"/>
        <v>0</v>
      </c>
      <c r="AE114" s="12"/>
    </row>
    <row r="115" spans="1:3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2"/>
      <c r="R115" s="12"/>
      <c r="S115" s="12"/>
      <c r="T115" s="12"/>
      <c r="U115" s="12"/>
      <c r="V115" s="18"/>
      <c r="W115" s="10">
        <f t="shared" si="16"/>
        <v>0</v>
      </c>
      <c r="X115" s="11"/>
      <c r="Y115" s="11">
        <f t="shared" si="17"/>
        <v>0</v>
      </c>
      <c r="Z115" s="10">
        <f>IF(Inställningar!$B$5="",0,Inställningar!$B$5)</f>
        <v>850</v>
      </c>
      <c r="AA115" s="10">
        <f t="shared" si="18"/>
        <v>0</v>
      </c>
      <c r="AB115" s="4"/>
      <c r="AC115" s="13">
        <f>IF(Inställningar!$B$6="",0,Inställningar!$B$6)</f>
        <v>0.15</v>
      </c>
      <c r="AD115" s="10">
        <f t="shared" si="19"/>
        <v>0</v>
      </c>
      <c r="AE115" s="12"/>
    </row>
    <row r="116" spans="1:3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2"/>
      <c r="R116" s="12"/>
      <c r="S116" s="12"/>
      <c r="T116" s="12"/>
      <c r="U116" s="12"/>
      <c r="V116" s="18"/>
      <c r="W116" s="10">
        <f t="shared" si="16"/>
        <v>0</v>
      </c>
      <c r="X116" s="11"/>
      <c r="Y116" s="11">
        <f t="shared" si="17"/>
        <v>0</v>
      </c>
      <c r="Z116" s="10">
        <f>IF(Inställningar!$B$5="",0,Inställningar!$B$5)</f>
        <v>850</v>
      </c>
      <c r="AA116" s="10">
        <f t="shared" si="18"/>
        <v>0</v>
      </c>
      <c r="AB116" s="4"/>
      <c r="AC116" s="13">
        <f>IF(Inställningar!$B$6="",0,Inställningar!$B$6)</f>
        <v>0.15</v>
      </c>
      <c r="AD116" s="10">
        <f t="shared" si="19"/>
        <v>0</v>
      </c>
      <c r="AE116" s="12"/>
    </row>
    <row r="117" spans="1:3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2"/>
      <c r="R117" s="12"/>
      <c r="S117" s="12"/>
      <c r="T117" s="12"/>
      <c r="U117" s="12"/>
      <c r="V117" s="18"/>
      <c r="W117" s="10">
        <f t="shared" si="16"/>
        <v>0</v>
      </c>
      <c r="X117" s="11"/>
      <c r="Y117" s="11">
        <f t="shared" si="17"/>
        <v>0</v>
      </c>
      <c r="Z117" s="10">
        <f>IF(Inställningar!$B$5="",0,Inställningar!$B$5)</f>
        <v>850</v>
      </c>
      <c r="AA117" s="10">
        <f t="shared" si="18"/>
        <v>0</v>
      </c>
      <c r="AB117" s="4"/>
      <c r="AC117" s="13">
        <f>IF(Inställningar!$B$6="",0,Inställningar!$B$6)</f>
        <v>0.15</v>
      </c>
      <c r="AD117" s="10">
        <f t="shared" si="19"/>
        <v>0</v>
      </c>
      <c r="AE117" s="12"/>
    </row>
    <row r="118" spans="1:3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2"/>
      <c r="R118" s="12"/>
      <c r="S118" s="12"/>
      <c r="T118" s="12"/>
      <c r="U118" s="12"/>
      <c r="V118" s="18"/>
      <c r="W118" s="10">
        <f t="shared" si="16"/>
        <v>0</v>
      </c>
      <c r="X118" s="11"/>
      <c r="Y118" s="11">
        <f t="shared" si="17"/>
        <v>0</v>
      </c>
      <c r="Z118" s="10">
        <f>IF(Inställningar!$B$5="",0,Inställningar!$B$5)</f>
        <v>850</v>
      </c>
      <c r="AA118" s="10">
        <f t="shared" si="18"/>
        <v>0</v>
      </c>
      <c r="AB118" s="4"/>
      <c r="AC118" s="13">
        <f>IF(Inställningar!$B$6="",0,Inställningar!$B$6)</f>
        <v>0.15</v>
      </c>
      <c r="AD118" s="10">
        <f t="shared" si="19"/>
        <v>0</v>
      </c>
      <c r="AE118" s="12"/>
    </row>
    <row r="119" spans="1:3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2"/>
      <c r="R119" s="12"/>
      <c r="S119" s="12"/>
      <c r="T119" s="12"/>
      <c r="U119" s="12"/>
      <c r="V119" s="18"/>
      <c r="W119" s="10">
        <f t="shared" si="16"/>
        <v>0</v>
      </c>
      <c r="X119" s="11"/>
      <c r="Y119" s="11">
        <f t="shared" si="17"/>
        <v>0</v>
      </c>
      <c r="Z119" s="10">
        <f>IF(Inställningar!$B$5="",0,Inställningar!$B$5)</f>
        <v>850</v>
      </c>
      <c r="AA119" s="10">
        <f t="shared" si="18"/>
        <v>0</v>
      </c>
      <c r="AB119" s="4"/>
      <c r="AC119" s="13">
        <f>IF(Inställningar!$B$6="",0,Inställningar!$B$6)</f>
        <v>0.15</v>
      </c>
      <c r="AD119" s="10">
        <f t="shared" si="19"/>
        <v>0</v>
      </c>
      <c r="AE119" s="12"/>
    </row>
    <row r="120" spans="1:3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2"/>
      <c r="R120" s="12"/>
      <c r="S120" s="12"/>
      <c r="T120" s="12"/>
      <c r="U120" s="12"/>
      <c r="V120" s="18"/>
      <c r="W120" s="10">
        <f t="shared" si="16"/>
        <v>0</v>
      </c>
      <c r="X120" s="11"/>
      <c r="Y120" s="11">
        <f t="shared" si="17"/>
        <v>0</v>
      </c>
      <c r="Z120" s="10">
        <f>IF(Inställningar!$B$5="",0,Inställningar!$B$5)</f>
        <v>850</v>
      </c>
      <c r="AA120" s="10">
        <f t="shared" si="18"/>
        <v>0</v>
      </c>
      <c r="AB120" s="4"/>
      <c r="AC120" s="13">
        <f>IF(Inställningar!$B$6="",0,Inställningar!$B$6)</f>
        <v>0.15</v>
      </c>
      <c r="AD120" s="10">
        <f t="shared" si="19"/>
        <v>0</v>
      </c>
      <c r="AE120" s="12"/>
    </row>
    <row r="121" spans="1:3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2"/>
      <c r="R121" s="12"/>
      <c r="S121" s="12"/>
      <c r="T121" s="12"/>
      <c r="U121" s="12"/>
      <c r="V121" s="18"/>
      <c r="W121" s="10">
        <f t="shared" si="16"/>
        <v>0</v>
      </c>
      <c r="X121" s="11"/>
      <c r="Y121" s="11">
        <f t="shared" si="17"/>
        <v>0</v>
      </c>
      <c r="Z121" s="10">
        <f>IF(Inställningar!$B$5="",0,Inställningar!$B$5)</f>
        <v>850</v>
      </c>
      <c r="AA121" s="10">
        <f t="shared" si="18"/>
        <v>0</v>
      </c>
      <c r="AB121" s="4"/>
      <c r="AC121" s="13">
        <f>IF(Inställningar!$B$6="",0,Inställningar!$B$6)</f>
        <v>0.15</v>
      </c>
      <c r="AD121" s="10">
        <f t="shared" si="19"/>
        <v>0</v>
      </c>
      <c r="AE121" s="12"/>
    </row>
    <row r="122" spans="1:3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2"/>
      <c r="R122" s="12"/>
      <c r="S122" s="12"/>
      <c r="T122" s="12"/>
      <c r="U122" s="12"/>
      <c r="V122" s="18"/>
      <c r="W122" s="10">
        <f t="shared" si="16"/>
        <v>0</v>
      </c>
      <c r="X122" s="11"/>
      <c r="Y122" s="11">
        <f t="shared" si="17"/>
        <v>0</v>
      </c>
      <c r="Z122" s="10">
        <f>IF(Inställningar!$B$5="",0,Inställningar!$B$5)</f>
        <v>850</v>
      </c>
      <c r="AA122" s="10">
        <f t="shared" si="18"/>
        <v>0</v>
      </c>
      <c r="AB122" s="4"/>
      <c r="AC122" s="13">
        <f>IF(Inställningar!$B$6="",0,Inställningar!$B$6)</f>
        <v>0.15</v>
      </c>
      <c r="AD122" s="10">
        <f t="shared" si="19"/>
        <v>0</v>
      </c>
      <c r="AE122" s="12"/>
    </row>
    <row r="123" spans="1:3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2"/>
      <c r="R123" s="12"/>
      <c r="S123" s="12"/>
      <c r="T123" s="12"/>
      <c r="U123" s="12"/>
      <c r="V123" s="18"/>
      <c r="W123" s="10">
        <f t="shared" si="16"/>
        <v>0</v>
      </c>
      <c r="X123" s="11"/>
      <c r="Y123" s="11">
        <f t="shared" si="17"/>
        <v>0</v>
      </c>
      <c r="Z123" s="10">
        <f>IF(Inställningar!$B$5="",0,Inställningar!$B$5)</f>
        <v>850</v>
      </c>
      <c r="AA123" s="10">
        <f t="shared" si="18"/>
        <v>0</v>
      </c>
      <c r="AB123" s="4"/>
      <c r="AC123" s="13">
        <f>IF(Inställningar!$B$6="",0,Inställningar!$B$6)</f>
        <v>0.15</v>
      </c>
      <c r="AD123" s="10">
        <f t="shared" si="19"/>
        <v>0</v>
      </c>
      <c r="AE123" s="12"/>
    </row>
    <row r="124" spans="1:3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2"/>
      <c r="R124" s="12"/>
      <c r="S124" s="12"/>
      <c r="T124" s="12"/>
      <c r="U124" s="12"/>
      <c r="V124" s="18"/>
      <c r="W124" s="10">
        <f t="shared" si="16"/>
        <v>0</v>
      </c>
      <c r="X124" s="11"/>
      <c r="Y124" s="11">
        <f t="shared" si="17"/>
        <v>0</v>
      </c>
      <c r="Z124" s="10">
        <f>IF(Inställningar!$B$5="",0,Inställningar!$B$5)</f>
        <v>850</v>
      </c>
      <c r="AA124" s="10">
        <f t="shared" si="18"/>
        <v>0</v>
      </c>
      <c r="AB124" s="4"/>
      <c r="AC124" s="13">
        <f>IF(Inställningar!$B$6="",0,Inställningar!$B$6)</f>
        <v>0.15</v>
      </c>
      <c r="AD124" s="10">
        <f t="shared" si="19"/>
        <v>0</v>
      </c>
      <c r="AE124" s="12"/>
    </row>
    <row r="125" spans="1:3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2"/>
      <c r="R125" s="12"/>
      <c r="S125" s="12"/>
      <c r="T125" s="12"/>
      <c r="U125" s="12"/>
      <c r="V125" s="18"/>
      <c r="W125" s="10">
        <f t="shared" si="16"/>
        <v>0</v>
      </c>
      <c r="X125" s="11"/>
      <c r="Y125" s="11">
        <f t="shared" si="17"/>
        <v>0</v>
      </c>
      <c r="Z125" s="10">
        <f>IF(Inställningar!$B$5="",0,Inställningar!$B$5)</f>
        <v>850</v>
      </c>
      <c r="AA125" s="10">
        <f t="shared" si="18"/>
        <v>0</v>
      </c>
      <c r="AB125" s="4"/>
      <c r="AC125" s="13">
        <f>IF(Inställningar!$B$6="",0,Inställningar!$B$6)</f>
        <v>0.15</v>
      </c>
      <c r="AD125" s="10">
        <f t="shared" si="19"/>
        <v>0</v>
      </c>
      <c r="AE125" s="12"/>
    </row>
    <row r="126" spans="1:3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2"/>
      <c r="R126" s="12"/>
      <c r="S126" s="12"/>
      <c r="T126" s="12"/>
      <c r="U126" s="12"/>
      <c r="V126" s="18"/>
      <c r="W126" s="10">
        <f t="shared" si="16"/>
        <v>0</v>
      </c>
      <c r="X126" s="11"/>
      <c r="Y126" s="11">
        <f t="shared" si="17"/>
        <v>0</v>
      </c>
      <c r="Z126" s="10">
        <f>IF(Inställningar!$B$5="",0,Inställningar!$B$5)</f>
        <v>850</v>
      </c>
      <c r="AA126" s="10">
        <f t="shared" si="18"/>
        <v>0</v>
      </c>
      <c r="AB126" s="4"/>
      <c r="AC126" s="13">
        <f>IF(Inställningar!$B$6="",0,Inställningar!$B$6)</f>
        <v>0.15</v>
      </c>
      <c r="AD126" s="10">
        <f t="shared" si="19"/>
        <v>0</v>
      </c>
      <c r="AE126" s="12"/>
    </row>
  </sheetData>
  <mergeCells count="3">
    <mergeCell ref="A1:O2"/>
    <mergeCell ref="A3:O4"/>
    <mergeCell ref="A55:H55"/>
  </mergeCells>
  <conditionalFormatting sqref="J7:J51">
    <cfRule type="expression" dxfId="4" priority="1">
      <formula>J7="Ja"</formula>
    </cfRule>
  </conditionalFormatting>
  <dataValidations count="3">
    <dataValidation type="list" sqref="A7:A51 I7:J51" xr:uid="{00000000-0002-0000-0200-000000000000}">
      <formula1>"Ja,Nej"</formula1>
    </dataValidation>
    <dataValidation type="list" sqref="U7:U126" xr:uid="{00000000-0002-0000-0200-000003000000}">
      <formula1>"st,m,m²,paket,tim,övrigt"</formula1>
    </dataValidation>
    <dataValidation type="list" sqref="Q7:Q126" xr:uid="{00000000-0002-0000-0200-000004000000}">
      <formula1>$D$7:$D$51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26"/>
  <sheetViews>
    <sheetView workbookViewId="0"/>
  </sheetViews>
  <sheetFormatPr defaultRowHeight="14.25"/>
  <cols>
    <col min="1" max="1" width="11" customWidth="1"/>
    <col min="2" max="3" width="16" customWidth="1"/>
    <col min="4" max="4" width="24" customWidth="1"/>
    <col min="5" max="5" width="30" customWidth="1"/>
    <col min="6" max="6" width="13" customWidth="1"/>
    <col min="7" max="7" width="18" customWidth="1"/>
    <col min="8" max="8" width="16" customWidth="1"/>
    <col min="9" max="9" width="10" customWidth="1"/>
    <col min="10" max="10" width="20" customWidth="1"/>
    <col min="11" max="11" width="18" customWidth="1"/>
    <col min="12" max="12" width="15" customWidth="1"/>
    <col min="13" max="13" width="16" customWidth="1"/>
    <col min="14" max="14" width="15" customWidth="1"/>
    <col min="15" max="15" width="48" customWidth="1"/>
    <col min="17" max="17" width="24" customWidth="1"/>
    <col min="18" max="18" width="16" customWidth="1"/>
    <col min="19" max="19" width="32" customWidth="1"/>
    <col min="20" max="21" width="10" customWidth="1"/>
    <col min="22" max="23" width="16" customWidth="1"/>
    <col min="24" max="24" width="13" customWidth="1"/>
    <col min="25" max="25" width="12" customWidth="1"/>
    <col min="26" max="26" width="14" customWidth="1"/>
    <col min="27" max="27" width="16" customWidth="1"/>
    <col min="28" max="28" width="14" customWidth="1"/>
    <col min="29" max="29" width="12" customWidth="1"/>
    <col min="30" max="30" width="16" customWidth="1"/>
    <col min="31" max="31" width="40" customWidth="1"/>
  </cols>
  <sheetData>
    <row r="1" spans="1:31">
      <c r="A1" s="19" t="s">
        <v>280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21" t="s">
        <v>281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30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63</v>
      </c>
      <c r="L6" s="2" t="s">
        <v>64</v>
      </c>
      <c r="M6" s="2" t="s">
        <v>65</v>
      </c>
      <c r="N6" s="2" t="s">
        <v>66</v>
      </c>
      <c r="O6" s="2" t="s">
        <v>67</v>
      </c>
      <c r="P6" s="3"/>
      <c r="Q6" s="2" t="s">
        <v>56</v>
      </c>
      <c r="R6" s="2" t="s">
        <v>68</v>
      </c>
      <c r="S6" s="2" t="s">
        <v>69</v>
      </c>
      <c r="T6" s="2" t="s">
        <v>70</v>
      </c>
      <c r="U6" s="2" t="s">
        <v>30</v>
      </c>
      <c r="V6" s="2" t="s">
        <v>71</v>
      </c>
      <c r="W6" s="2" t="s">
        <v>72</v>
      </c>
      <c r="X6" s="2" t="s">
        <v>73</v>
      </c>
      <c r="Y6" s="2" t="s">
        <v>74</v>
      </c>
      <c r="Z6" s="2" t="s">
        <v>75</v>
      </c>
      <c r="AA6" s="2" t="s">
        <v>76</v>
      </c>
      <c r="AB6" s="2" t="s">
        <v>77</v>
      </c>
      <c r="AC6" s="2" t="s">
        <v>78</v>
      </c>
      <c r="AD6" s="2" t="s">
        <v>79</v>
      </c>
      <c r="AE6" s="2" t="s">
        <v>17</v>
      </c>
    </row>
    <row r="7" spans="1:31" ht="28.5">
      <c r="A7" s="7" t="s">
        <v>46</v>
      </c>
      <c r="B7" s="7" t="s">
        <v>282</v>
      </c>
      <c r="C7" s="7" t="s">
        <v>139</v>
      </c>
      <c r="D7" s="7" t="s">
        <v>283</v>
      </c>
      <c r="E7" s="7" t="s">
        <v>284</v>
      </c>
      <c r="F7" s="7" t="s">
        <v>84</v>
      </c>
      <c r="G7" s="8">
        <v>0</v>
      </c>
      <c r="H7" s="9">
        <v>0</v>
      </c>
      <c r="I7" s="7" t="s">
        <v>85</v>
      </c>
      <c r="J7" s="7" t="s">
        <v>85</v>
      </c>
      <c r="K7" s="10">
        <f t="shared" ref="K7:K51" si="0">IF(D7="","",SUMIF($Q$7:$Q$126,D7,$AD$7:$AD$126))</f>
        <v>0</v>
      </c>
      <c r="L7" s="11">
        <f t="shared" ref="L7:L51" si="1">IF(D7="","",SUMIF($Q$7:$Q$126,D7,$Y$7:$Y$126))</f>
        <v>0</v>
      </c>
      <c r="M7" s="10">
        <f t="shared" ref="M7:M51" si="2">IF(D7="","",IF(J7="Ja",K7,G7))</f>
        <v>0</v>
      </c>
      <c r="N7" s="11">
        <f t="shared" ref="N7:N51" si="3">IF(D7="","",IF(J7="Ja",L7,H7))</f>
        <v>0</v>
      </c>
      <c r="O7" s="3" t="s">
        <v>285</v>
      </c>
      <c r="P7" s="3"/>
      <c r="Q7" s="12" t="s">
        <v>286</v>
      </c>
      <c r="R7" s="12" t="s">
        <v>287</v>
      </c>
      <c r="S7" s="12" t="s">
        <v>89</v>
      </c>
      <c r="T7" s="12">
        <v>1</v>
      </c>
      <c r="U7" s="12" t="s">
        <v>90</v>
      </c>
      <c r="V7" s="18">
        <v>13991.304348</v>
      </c>
      <c r="W7" s="10">
        <f t="shared" ref="W7:W38" si="4">IF(OR(T7="",V7=""),0,T7*V7)</f>
        <v>13991.304348</v>
      </c>
      <c r="X7" s="11">
        <v>4</v>
      </c>
      <c r="Y7" s="11">
        <f t="shared" ref="Y7:Y38" si="5">IF(OR(T7="",X7=""),0,T7*X7)</f>
        <v>4</v>
      </c>
      <c r="Z7" s="10">
        <f>IF(Inställningar!$B$5="",0,Inställningar!$B$5)</f>
        <v>850</v>
      </c>
      <c r="AA7" s="10">
        <f t="shared" ref="AA7:AA38" si="6">Y7*Z7</f>
        <v>3400</v>
      </c>
      <c r="AB7" s="4">
        <v>0</v>
      </c>
      <c r="AC7" s="13">
        <f>IF(Inställningar!$B$6="",0,Inställningar!$B$6)</f>
        <v>0.15</v>
      </c>
      <c r="AD7" s="10">
        <f t="shared" ref="AD7:AD38" si="7">ROUND((W7+AA7+IF(AB7="",0,AB7))*(1+AC7),0)</f>
        <v>20000</v>
      </c>
      <c r="AE7" s="12" t="s">
        <v>288</v>
      </c>
    </row>
    <row r="8" spans="1:31" ht="29.25">
      <c r="A8" s="7" t="s">
        <v>46</v>
      </c>
      <c r="B8" s="7" t="s">
        <v>282</v>
      </c>
      <c r="C8" s="7" t="s">
        <v>289</v>
      </c>
      <c r="D8" s="7" t="s">
        <v>286</v>
      </c>
      <c r="E8" s="7" t="s">
        <v>284</v>
      </c>
      <c r="F8" s="7" t="s">
        <v>84</v>
      </c>
      <c r="G8" s="8">
        <v>20000</v>
      </c>
      <c r="H8" s="9">
        <v>4</v>
      </c>
      <c r="I8" s="7" t="s">
        <v>85</v>
      </c>
      <c r="J8" s="7" t="s">
        <v>46</v>
      </c>
      <c r="K8" s="10">
        <f t="shared" si="0"/>
        <v>20000</v>
      </c>
      <c r="L8" s="11">
        <f t="shared" si="1"/>
        <v>4</v>
      </c>
      <c r="M8" s="10">
        <f t="shared" si="2"/>
        <v>20000</v>
      </c>
      <c r="N8" s="11">
        <f t="shared" si="3"/>
        <v>4</v>
      </c>
      <c r="O8" s="3" t="s">
        <v>290</v>
      </c>
      <c r="P8" s="3"/>
      <c r="Q8" s="12" t="s">
        <v>291</v>
      </c>
      <c r="R8" s="12" t="s">
        <v>129</v>
      </c>
      <c r="S8" s="12" t="s">
        <v>89</v>
      </c>
      <c r="T8" s="12">
        <v>1</v>
      </c>
      <c r="U8" s="12" t="s">
        <v>90</v>
      </c>
      <c r="V8" s="18">
        <v>95291.304348000005</v>
      </c>
      <c r="W8" s="10">
        <f t="shared" si="4"/>
        <v>95291.304348000005</v>
      </c>
      <c r="X8" s="11">
        <v>26</v>
      </c>
      <c r="Y8" s="11">
        <f t="shared" si="5"/>
        <v>26</v>
      </c>
      <c r="Z8" s="10">
        <f>IF(Inställningar!$B$5="",0,Inställningar!$B$5)</f>
        <v>850</v>
      </c>
      <c r="AA8" s="10">
        <f t="shared" si="6"/>
        <v>22100</v>
      </c>
      <c r="AB8" s="4">
        <v>0</v>
      </c>
      <c r="AC8" s="13">
        <f>IF(Inställningar!$B$6="",0,Inställningar!$B$6)</f>
        <v>0.15</v>
      </c>
      <c r="AD8" s="10">
        <f t="shared" si="7"/>
        <v>135000</v>
      </c>
      <c r="AE8" s="12" t="s">
        <v>288</v>
      </c>
    </row>
    <row r="9" spans="1:31" ht="29.25">
      <c r="A9" s="7" t="s">
        <v>46</v>
      </c>
      <c r="B9" s="7" t="s">
        <v>104</v>
      </c>
      <c r="C9" s="7" t="s">
        <v>139</v>
      </c>
      <c r="D9" s="7" t="s">
        <v>291</v>
      </c>
      <c r="E9" s="7" t="s">
        <v>292</v>
      </c>
      <c r="F9" s="7" t="s">
        <v>84</v>
      </c>
      <c r="G9" s="8">
        <v>135000</v>
      </c>
      <c r="H9" s="9">
        <v>26</v>
      </c>
      <c r="I9" s="7" t="s">
        <v>85</v>
      </c>
      <c r="J9" s="7" t="s">
        <v>46</v>
      </c>
      <c r="K9" s="10">
        <f t="shared" si="0"/>
        <v>135000</v>
      </c>
      <c r="L9" s="11">
        <f t="shared" si="1"/>
        <v>26</v>
      </c>
      <c r="M9" s="10">
        <f t="shared" si="2"/>
        <v>135000</v>
      </c>
      <c r="N9" s="11">
        <f t="shared" si="3"/>
        <v>26</v>
      </c>
      <c r="O9" s="3" t="s">
        <v>293</v>
      </c>
      <c r="P9" s="3"/>
      <c r="Q9" s="12" t="s">
        <v>107</v>
      </c>
      <c r="R9" s="12" t="s">
        <v>108</v>
      </c>
      <c r="S9" s="12" t="s">
        <v>89</v>
      </c>
      <c r="T9" s="12">
        <v>1</v>
      </c>
      <c r="U9" s="12" t="s">
        <v>90</v>
      </c>
      <c r="V9" s="18">
        <v>116278.26087</v>
      </c>
      <c r="W9" s="10">
        <f t="shared" si="4"/>
        <v>116278.26087</v>
      </c>
      <c r="X9" s="11">
        <v>32</v>
      </c>
      <c r="Y9" s="11">
        <f t="shared" si="5"/>
        <v>32</v>
      </c>
      <c r="Z9" s="10">
        <f>IF(Inställningar!$B$5="",0,Inställningar!$B$5)</f>
        <v>850</v>
      </c>
      <c r="AA9" s="10">
        <f t="shared" si="6"/>
        <v>27200</v>
      </c>
      <c r="AB9" s="4">
        <v>0</v>
      </c>
      <c r="AC9" s="13">
        <f>IF(Inställningar!$B$6="",0,Inställningar!$B$6)</f>
        <v>0.15</v>
      </c>
      <c r="AD9" s="10">
        <f t="shared" si="7"/>
        <v>165000</v>
      </c>
      <c r="AE9" s="12" t="s">
        <v>288</v>
      </c>
    </row>
    <row r="10" spans="1:31" ht="29.25">
      <c r="A10" s="7" t="s">
        <v>46</v>
      </c>
      <c r="B10" s="7" t="s">
        <v>104</v>
      </c>
      <c r="C10" s="7" t="s">
        <v>109</v>
      </c>
      <c r="D10" s="7" t="s">
        <v>107</v>
      </c>
      <c r="E10" s="7" t="s">
        <v>294</v>
      </c>
      <c r="F10" s="7" t="s">
        <v>84</v>
      </c>
      <c r="G10" s="8">
        <v>165000</v>
      </c>
      <c r="H10" s="9">
        <v>32</v>
      </c>
      <c r="I10" s="7" t="s">
        <v>85</v>
      </c>
      <c r="J10" s="7" t="s">
        <v>46</v>
      </c>
      <c r="K10" s="10">
        <f t="shared" si="0"/>
        <v>165000</v>
      </c>
      <c r="L10" s="11">
        <f t="shared" si="1"/>
        <v>32</v>
      </c>
      <c r="M10" s="10">
        <f t="shared" si="2"/>
        <v>165000</v>
      </c>
      <c r="N10" s="11">
        <f t="shared" si="3"/>
        <v>32</v>
      </c>
      <c r="O10" s="3" t="s">
        <v>295</v>
      </c>
      <c r="P10" s="3"/>
      <c r="Q10" s="12" t="s">
        <v>117</v>
      </c>
      <c r="R10" s="12" t="s">
        <v>118</v>
      </c>
      <c r="S10" s="12" t="s">
        <v>89</v>
      </c>
      <c r="T10" s="12">
        <v>1</v>
      </c>
      <c r="U10" s="12" t="s">
        <v>90</v>
      </c>
      <c r="V10" s="18">
        <v>4821.7391299999999</v>
      </c>
      <c r="W10" s="10">
        <f t="shared" si="4"/>
        <v>4821.7391299999999</v>
      </c>
      <c r="X10" s="11">
        <v>2</v>
      </c>
      <c r="Y10" s="11">
        <f t="shared" si="5"/>
        <v>2</v>
      </c>
      <c r="Z10" s="10">
        <f>IF(Inställningar!$B$5="",0,Inställningar!$B$5)</f>
        <v>850</v>
      </c>
      <c r="AA10" s="10">
        <f t="shared" si="6"/>
        <v>1700</v>
      </c>
      <c r="AB10" s="4">
        <v>0</v>
      </c>
      <c r="AC10" s="13">
        <f>IF(Inställningar!$B$6="",0,Inställningar!$B$6)</f>
        <v>0.15</v>
      </c>
      <c r="AD10" s="10">
        <f t="shared" si="7"/>
        <v>7500</v>
      </c>
      <c r="AE10" s="12" t="s">
        <v>288</v>
      </c>
    </row>
    <row r="11" spans="1:31" ht="29.25">
      <c r="A11" s="7" t="s">
        <v>46</v>
      </c>
      <c r="B11" s="7" t="s">
        <v>124</v>
      </c>
      <c r="C11" s="7" t="s">
        <v>125</v>
      </c>
      <c r="D11" s="7" t="s">
        <v>117</v>
      </c>
      <c r="E11" s="7" t="s">
        <v>126</v>
      </c>
      <c r="F11" s="7" t="s">
        <v>84</v>
      </c>
      <c r="G11" s="8">
        <v>7500</v>
      </c>
      <c r="H11" s="9">
        <v>2</v>
      </c>
      <c r="I11" s="7" t="s">
        <v>85</v>
      </c>
      <c r="J11" s="7" t="s">
        <v>46</v>
      </c>
      <c r="K11" s="10">
        <f t="shared" si="0"/>
        <v>7500</v>
      </c>
      <c r="L11" s="11">
        <f t="shared" si="1"/>
        <v>2</v>
      </c>
      <c r="M11" s="10">
        <f t="shared" si="2"/>
        <v>7500</v>
      </c>
      <c r="N11" s="11">
        <f t="shared" si="3"/>
        <v>2</v>
      </c>
      <c r="O11" s="3" t="s">
        <v>296</v>
      </c>
      <c r="P11" s="3"/>
      <c r="Q11" s="12" t="s">
        <v>122</v>
      </c>
      <c r="R11" s="12" t="s">
        <v>123</v>
      </c>
      <c r="S11" s="12" t="s">
        <v>89</v>
      </c>
      <c r="T11" s="12">
        <v>1</v>
      </c>
      <c r="U11" s="12" t="s">
        <v>90</v>
      </c>
      <c r="V11" s="18">
        <v>22726.086957</v>
      </c>
      <c r="W11" s="10">
        <f t="shared" si="4"/>
        <v>22726.086957</v>
      </c>
      <c r="X11" s="11">
        <v>6</v>
      </c>
      <c r="Y11" s="11">
        <f t="shared" si="5"/>
        <v>6</v>
      </c>
      <c r="Z11" s="10">
        <f>IF(Inställningar!$B$5="",0,Inställningar!$B$5)</f>
        <v>850</v>
      </c>
      <c r="AA11" s="10">
        <f t="shared" si="6"/>
        <v>5100</v>
      </c>
      <c r="AB11" s="4">
        <v>0</v>
      </c>
      <c r="AC11" s="13">
        <f>IF(Inställningar!$B$6="",0,Inställningar!$B$6)</f>
        <v>0.15</v>
      </c>
      <c r="AD11" s="10">
        <f t="shared" si="7"/>
        <v>32000</v>
      </c>
      <c r="AE11" s="12" t="s">
        <v>288</v>
      </c>
    </row>
    <row r="12" spans="1:31" ht="29.25">
      <c r="A12" s="7" t="s">
        <v>46</v>
      </c>
      <c r="B12" s="7" t="s">
        <v>124</v>
      </c>
      <c r="C12" s="7" t="s">
        <v>130</v>
      </c>
      <c r="D12" s="7" t="s">
        <v>122</v>
      </c>
      <c r="E12" s="7" t="s">
        <v>126</v>
      </c>
      <c r="F12" s="7" t="s">
        <v>84</v>
      </c>
      <c r="G12" s="8">
        <v>32000</v>
      </c>
      <c r="H12" s="9">
        <v>6</v>
      </c>
      <c r="I12" s="7" t="s">
        <v>85</v>
      </c>
      <c r="J12" s="7" t="s">
        <v>46</v>
      </c>
      <c r="K12" s="10">
        <f t="shared" si="0"/>
        <v>32000</v>
      </c>
      <c r="L12" s="11">
        <f t="shared" si="1"/>
        <v>6</v>
      </c>
      <c r="M12" s="10">
        <f t="shared" si="2"/>
        <v>32000</v>
      </c>
      <c r="N12" s="11">
        <f t="shared" si="3"/>
        <v>6</v>
      </c>
      <c r="O12" s="3" t="s">
        <v>297</v>
      </c>
      <c r="P12" s="3"/>
      <c r="Q12" s="12" t="s">
        <v>298</v>
      </c>
      <c r="R12" s="12" t="s">
        <v>299</v>
      </c>
      <c r="S12" s="12" t="s">
        <v>89</v>
      </c>
      <c r="T12" s="12">
        <v>1</v>
      </c>
      <c r="U12" s="12" t="s">
        <v>90</v>
      </c>
      <c r="V12" s="18">
        <v>109478.26087</v>
      </c>
      <c r="W12" s="10">
        <f t="shared" si="4"/>
        <v>109478.26087</v>
      </c>
      <c r="X12" s="11">
        <v>40</v>
      </c>
      <c r="Y12" s="11">
        <f t="shared" si="5"/>
        <v>40</v>
      </c>
      <c r="Z12" s="10">
        <f>IF(Inställningar!$B$5="",0,Inställningar!$B$5)</f>
        <v>850</v>
      </c>
      <c r="AA12" s="10">
        <f t="shared" si="6"/>
        <v>34000</v>
      </c>
      <c r="AB12" s="4">
        <v>0</v>
      </c>
      <c r="AC12" s="13">
        <f>IF(Inställningar!$B$6="",0,Inställningar!$B$6)</f>
        <v>0.15</v>
      </c>
      <c r="AD12" s="10">
        <f t="shared" si="7"/>
        <v>165000</v>
      </c>
      <c r="AE12" s="12" t="s">
        <v>288</v>
      </c>
    </row>
    <row r="13" spans="1:31" ht="29.25">
      <c r="A13" s="7" t="s">
        <v>46</v>
      </c>
      <c r="B13" s="7" t="s">
        <v>300</v>
      </c>
      <c r="C13" s="7" t="s">
        <v>301</v>
      </c>
      <c r="D13" s="7" t="s">
        <v>298</v>
      </c>
      <c r="E13" s="7" t="s">
        <v>302</v>
      </c>
      <c r="F13" s="7" t="s">
        <v>84</v>
      </c>
      <c r="G13" s="8">
        <v>165000</v>
      </c>
      <c r="H13" s="9">
        <v>40</v>
      </c>
      <c r="I13" s="7" t="s">
        <v>85</v>
      </c>
      <c r="J13" s="7" t="s">
        <v>46</v>
      </c>
      <c r="K13" s="10">
        <f t="shared" si="0"/>
        <v>165000</v>
      </c>
      <c r="L13" s="11">
        <f t="shared" si="1"/>
        <v>40</v>
      </c>
      <c r="M13" s="10">
        <f t="shared" si="2"/>
        <v>165000</v>
      </c>
      <c r="N13" s="11">
        <f t="shared" si="3"/>
        <v>40</v>
      </c>
      <c r="O13" s="3" t="s">
        <v>303</v>
      </c>
      <c r="P13" s="3"/>
      <c r="Q13" s="12" t="s">
        <v>304</v>
      </c>
      <c r="R13" s="12" t="s">
        <v>305</v>
      </c>
      <c r="S13" s="12" t="s">
        <v>89</v>
      </c>
      <c r="T13" s="12">
        <v>1</v>
      </c>
      <c r="U13" s="12" t="s">
        <v>90</v>
      </c>
      <c r="V13" s="18">
        <v>29663.043478</v>
      </c>
      <c r="W13" s="10">
        <f t="shared" si="4"/>
        <v>29663.043478</v>
      </c>
      <c r="X13" s="11">
        <v>5</v>
      </c>
      <c r="Y13" s="11">
        <f t="shared" si="5"/>
        <v>5</v>
      </c>
      <c r="Z13" s="10">
        <f>IF(Inställningar!$B$5="",0,Inställningar!$B$5)</f>
        <v>850</v>
      </c>
      <c r="AA13" s="10">
        <f t="shared" si="6"/>
        <v>4250</v>
      </c>
      <c r="AB13" s="4">
        <v>0</v>
      </c>
      <c r="AC13" s="13">
        <f>IF(Inställningar!$B$6="",0,Inställningar!$B$6)</f>
        <v>0.15</v>
      </c>
      <c r="AD13" s="10">
        <f t="shared" si="7"/>
        <v>39000</v>
      </c>
      <c r="AE13" s="12" t="s">
        <v>288</v>
      </c>
    </row>
    <row r="14" spans="1:31" ht="29.25">
      <c r="A14" s="7" t="s">
        <v>46</v>
      </c>
      <c r="B14" s="7" t="s">
        <v>300</v>
      </c>
      <c r="C14" s="7" t="s">
        <v>149</v>
      </c>
      <c r="D14" s="7" t="s">
        <v>304</v>
      </c>
      <c r="E14" s="7" t="s">
        <v>306</v>
      </c>
      <c r="F14" s="7" t="s">
        <v>84</v>
      </c>
      <c r="G14" s="8">
        <v>39000</v>
      </c>
      <c r="H14" s="9">
        <v>5</v>
      </c>
      <c r="I14" s="7" t="s">
        <v>85</v>
      </c>
      <c r="J14" s="7" t="s">
        <v>46</v>
      </c>
      <c r="K14" s="10">
        <f t="shared" si="0"/>
        <v>39000</v>
      </c>
      <c r="L14" s="11">
        <f t="shared" si="1"/>
        <v>5</v>
      </c>
      <c r="M14" s="10">
        <f t="shared" si="2"/>
        <v>39000</v>
      </c>
      <c r="N14" s="11">
        <f t="shared" si="3"/>
        <v>5</v>
      </c>
      <c r="O14" s="3" t="s">
        <v>307</v>
      </c>
      <c r="P14" s="3"/>
      <c r="Q14" s="12" t="s">
        <v>137</v>
      </c>
      <c r="R14" s="12" t="s">
        <v>138</v>
      </c>
      <c r="S14" s="12" t="s">
        <v>89</v>
      </c>
      <c r="T14" s="12">
        <v>1</v>
      </c>
      <c r="U14" s="12" t="s">
        <v>90</v>
      </c>
      <c r="V14" s="18">
        <v>17547.826087000001</v>
      </c>
      <c r="W14" s="10">
        <f t="shared" si="4"/>
        <v>17547.826087000001</v>
      </c>
      <c r="X14" s="11">
        <v>8</v>
      </c>
      <c r="Y14" s="11">
        <f t="shared" si="5"/>
        <v>8</v>
      </c>
      <c r="Z14" s="10">
        <f>IF(Inställningar!$B$5="",0,Inställningar!$B$5)</f>
        <v>850</v>
      </c>
      <c r="AA14" s="10">
        <f t="shared" si="6"/>
        <v>6800</v>
      </c>
      <c r="AB14" s="4">
        <v>0</v>
      </c>
      <c r="AC14" s="13">
        <f>IF(Inställningar!$B$6="",0,Inställningar!$B$6)</f>
        <v>0.15</v>
      </c>
      <c r="AD14" s="10">
        <f t="shared" si="7"/>
        <v>28000</v>
      </c>
      <c r="AE14" s="12" t="s">
        <v>288</v>
      </c>
    </row>
    <row r="15" spans="1:31" ht="29.25">
      <c r="A15" s="7" t="s">
        <v>46</v>
      </c>
      <c r="B15" s="7" t="s">
        <v>100</v>
      </c>
      <c r="C15" s="7" t="s">
        <v>161</v>
      </c>
      <c r="D15" s="7" t="s">
        <v>137</v>
      </c>
      <c r="E15" s="7" t="s">
        <v>158</v>
      </c>
      <c r="F15" s="7" t="s">
        <v>84</v>
      </c>
      <c r="G15" s="8">
        <v>28000</v>
      </c>
      <c r="H15" s="9">
        <v>8</v>
      </c>
      <c r="I15" s="7" t="s">
        <v>85</v>
      </c>
      <c r="J15" s="7" t="s">
        <v>46</v>
      </c>
      <c r="K15" s="10">
        <f t="shared" si="0"/>
        <v>28000</v>
      </c>
      <c r="L15" s="11">
        <f t="shared" si="1"/>
        <v>8</v>
      </c>
      <c r="M15" s="10">
        <f t="shared" si="2"/>
        <v>28000</v>
      </c>
      <c r="N15" s="11">
        <f t="shared" si="3"/>
        <v>8</v>
      </c>
      <c r="O15" s="3" t="s">
        <v>308</v>
      </c>
      <c r="P15" s="3"/>
      <c r="Q15" s="12" t="s">
        <v>141</v>
      </c>
      <c r="R15" s="12" t="s">
        <v>142</v>
      </c>
      <c r="S15" s="12" t="s">
        <v>89</v>
      </c>
      <c r="T15" s="12">
        <v>1</v>
      </c>
      <c r="U15" s="12" t="s">
        <v>90</v>
      </c>
      <c r="V15" s="18">
        <v>28930.434783000001</v>
      </c>
      <c r="W15" s="10">
        <f t="shared" si="4"/>
        <v>28930.434783000001</v>
      </c>
      <c r="X15" s="11">
        <v>12</v>
      </c>
      <c r="Y15" s="11">
        <f t="shared" si="5"/>
        <v>12</v>
      </c>
      <c r="Z15" s="10">
        <f>IF(Inställningar!$B$5="",0,Inställningar!$B$5)</f>
        <v>850</v>
      </c>
      <c r="AA15" s="10">
        <f t="shared" si="6"/>
        <v>10200</v>
      </c>
      <c r="AB15" s="4">
        <v>0</v>
      </c>
      <c r="AC15" s="13">
        <f>IF(Inställningar!$B$6="",0,Inställningar!$B$6)</f>
        <v>0.15</v>
      </c>
      <c r="AD15" s="10">
        <f t="shared" si="7"/>
        <v>45000</v>
      </c>
      <c r="AE15" s="12" t="s">
        <v>288</v>
      </c>
    </row>
    <row r="16" spans="1:31" ht="29.25">
      <c r="A16" s="7" t="s">
        <v>46</v>
      </c>
      <c r="B16" s="7" t="s">
        <v>100</v>
      </c>
      <c r="C16" s="7" t="s">
        <v>165</v>
      </c>
      <c r="D16" s="7" t="s">
        <v>141</v>
      </c>
      <c r="E16" s="7" t="s">
        <v>158</v>
      </c>
      <c r="F16" s="7" t="s">
        <v>84</v>
      </c>
      <c r="G16" s="8">
        <v>45000</v>
      </c>
      <c r="H16" s="9">
        <v>12</v>
      </c>
      <c r="I16" s="7" t="s">
        <v>85</v>
      </c>
      <c r="J16" s="7" t="s">
        <v>46</v>
      </c>
      <c r="K16" s="10">
        <f t="shared" si="0"/>
        <v>45000</v>
      </c>
      <c r="L16" s="11">
        <f t="shared" si="1"/>
        <v>12</v>
      </c>
      <c r="M16" s="10">
        <f t="shared" si="2"/>
        <v>45000</v>
      </c>
      <c r="N16" s="11">
        <f t="shared" si="3"/>
        <v>12</v>
      </c>
      <c r="O16" s="3" t="s">
        <v>309</v>
      </c>
      <c r="P16" s="3"/>
      <c r="Q16" s="12" t="s">
        <v>147</v>
      </c>
      <c r="R16" s="12" t="s">
        <v>148</v>
      </c>
      <c r="S16" s="12" t="s">
        <v>89</v>
      </c>
      <c r="T16" s="12">
        <v>1</v>
      </c>
      <c r="U16" s="12" t="s">
        <v>90</v>
      </c>
      <c r="V16" s="18">
        <v>6705.4347829999997</v>
      </c>
      <c r="W16" s="10">
        <f t="shared" si="4"/>
        <v>6705.4347829999997</v>
      </c>
      <c r="X16" s="11">
        <v>0.5</v>
      </c>
      <c r="Y16" s="11">
        <f t="shared" si="5"/>
        <v>0.5</v>
      </c>
      <c r="Z16" s="10">
        <f>IF(Inställningar!$B$5="",0,Inställningar!$B$5)</f>
        <v>850</v>
      </c>
      <c r="AA16" s="10">
        <f t="shared" si="6"/>
        <v>425</v>
      </c>
      <c r="AB16" s="4">
        <v>0</v>
      </c>
      <c r="AC16" s="13">
        <f>IF(Inställningar!$B$6="",0,Inställningar!$B$6)</f>
        <v>0.15</v>
      </c>
      <c r="AD16" s="10">
        <f t="shared" si="7"/>
        <v>8200</v>
      </c>
      <c r="AE16" s="12" t="s">
        <v>288</v>
      </c>
    </row>
    <row r="17" spans="1:31" ht="29.25">
      <c r="A17" s="7" t="s">
        <v>46</v>
      </c>
      <c r="B17" s="7" t="s">
        <v>174</v>
      </c>
      <c r="C17" s="7" t="s">
        <v>175</v>
      </c>
      <c r="D17" s="7" t="s">
        <v>147</v>
      </c>
      <c r="E17" s="7" t="s">
        <v>176</v>
      </c>
      <c r="F17" s="7" t="s">
        <v>30</v>
      </c>
      <c r="G17" s="8">
        <v>8200</v>
      </c>
      <c r="H17" s="9">
        <v>0.5</v>
      </c>
      <c r="I17" s="7" t="s">
        <v>85</v>
      </c>
      <c r="J17" s="7" t="s">
        <v>46</v>
      </c>
      <c r="K17" s="10">
        <f t="shared" si="0"/>
        <v>8200</v>
      </c>
      <c r="L17" s="11">
        <f t="shared" si="1"/>
        <v>0.5</v>
      </c>
      <c r="M17" s="10">
        <f t="shared" si="2"/>
        <v>8200</v>
      </c>
      <c r="N17" s="11">
        <f t="shared" si="3"/>
        <v>0.5</v>
      </c>
      <c r="O17" s="3" t="s">
        <v>310</v>
      </c>
      <c r="P17" s="3"/>
      <c r="Q17" s="12" t="s">
        <v>151</v>
      </c>
      <c r="R17" s="12" t="s">
        <v>152</v>
      </c>
      <c r="S17" s="12" t="s">
        <v>89</v>
      </c>
      <c r="T17" s="12">
        <v>1</v>
      </c>
      <c r="U17" s="12" t="s">
        <v>90</v>
      </c>
      <c r="V17" s="18">
        <v>7835.869565</v>
      </c>
      <c r="W17" s="10">
        <f t="shared" si="4"/>
        <v>7835.869565</v>
      </c>
      <c r="X17" s="11">
        <v>0.5</v>
      </c>
      <c r="Y17" s="11">
        <f t="shared" si="5"/>
        <v>0.5</v>
      </c>
      <c r="Z17" s="10">
        <f>IF(Inställningar!$B$5="",0,Inställningar!$B$5)</f>
        <v>850</v>
      </c>
      <c r="AA17" s="10">
        <f t="shared" si="6"/>
        <v>425</v>
      </c>
      <c r="AB17" s="4">
        <v>0</v>
      </c>
      <c r="AC17" s="13">
        <f>IF(Inställningar!$B$6="",0,Inställningar!$B$6)</f>
        <v>0.15</v>
      </c>
      <c r="AD17" s="10">
        <f t="shared" si="7"/>
        <v>9500</v>
      </c>
      <c r="AE17" s="12" t="s">
        <v>288</v>
      </c>
    </row>
    <row r="18" spans="1:31" ht="29.25">
      <c r="A18" s="7" t="s">
        <v>46</v>
      </c>
      <c r="B18" s="7" t="s">
        <v>174</v>
      </c>
      <c r="C18" s="7" t="s">
        <v>180</v>
      </c>
      <c r="D18" s="7" t="s">
        <v>151</v>
      </c>
      <c r="E18" s="7" t="s">
        <v>176</v>
      </c>
      <c r="F18" s="7" t="s">
        <v>30</v>
      </c>
      <c r="G18" s="8">
        <v>9500</v>
      </c>
      <c r="H18" s="9">
        <v>0.5</v>
      </c>
      <c r="I18" s="7" t="s">
        <v>85</v>
      </c>
      <c r="J18" s="7" t="s">
        <v>46</v>
      </c>
      <c r="K18" s="10">
        <f t="shared" si="0"/>
        <v>9500</v>
      </c>
      <c r="L18" s="11">
        <f t="shared" si="1"/>
        <v>0.5</v>
      </c>
      <c r="M18" s="10">
        <f t="shared" si="2"/>
        <v>9500</v>
      </c>
      <c r="N18" s="11">
        <f t="shared" si="3"/>
        <v>0.5</v>
      </c>
      <c r="O18" s="3" t="s">
        <v>311</v>
      </c>
      <c r="P18" s="3"/>
      <c r="Q18" s="12" t="s">
        <v>155</v>
      </c>
      <c r="R18" s="12" t="s">
        <v>156</v>
      </c>
      <c r="S18" s="12" t="s">
        <v>89</v>
      </c>
      <c r="T18" s="12">
        <v>1</v>
      </c>
      <c r="U18" s="12" t="s">
        <v>90</v>
      </c>
      <c r="V18" s="18">
        <v>3488.0434780000001</v>
      </c>
      <c r="W18" s="10">
        <f t="shared" si="4"/>
        <v>3488.0434780000001</v>
      </c>
      <c r="X18" s="11">
        <v>0.5</v>
      </c>
      <c r="Y18" s="11">
        <f t="shared" si="5"/>
        <v>0.5</v>
      </c>
      <c r="Z18" s="10">
        <f>IF(Inställningar!$B$5="",0,Inställningar!$B$5)</f>
        <v>850</v>
      </c>
      <c r="AA18" s="10">
        <f t="shared" si="6"/>
        <v>425</v>
      </c>
      <c r="AB18" s="4">
        <v>0</v>
      </c>
      <c r="AC18" s="13">
        <f>IF(Inställningar!$B$6="",0,Inställningar!$B$6)</f>
        <v>0.15</v>
      </c>
      <c r="AD18" s="10">
        <f t="shared" si="7"/>
        <v>4500</v>
      </c>
      <c r="AE18" s="12" t="s">
        <v>288</v>
      </c>
    </row>
    <row r="19" spans="1:31" ht="29.25">
      <c r="A19" s="7" t="s">
        <v>46</v>
      </c>
      <c r="B19" s="7" t="s">
        <v>174</v>
      </c>
      <c r="C19" s="7" t="s">
        <v>184</v>
      </c>
      <c r="D19" s="7" t="s">
        <v>155</v>
      </c>
      <c r="E19" s="7" t="s">
        <v>176</v>
      </c>
      <c r="F19" s="7" t="s">
        <v>30</v>
      </c>
      <c r="G19" s="8">
        <v>4500</v>
      </c>
      <c r="H19" s="9">
        <v>0.5</v>
      </c>
      <c r="I19" s="7" t="s">
        <v>85</v>
      </c>
      <c r="J19" s="7" t="s">
        <v>46</v>
      </c>
      <c r="K19" s="10">
        <f t="shared" si="0"/>
        <v>4500</v>
      </c>
      <c r="L19" s="11">
        <f t="shared" si="1"/>
        <v>0.5</v>
      </c>
      <c r="M19" s="10">
        <f t="shared" si="2"/>
        <v>4500</v>
      </c>
      <c r="N19" s="11">
        <f t="shared" si="3"/>
        <v>0.5</v>
      </c>
      <c r="O19" s="3" t="s">
        <v>312</v>
      </c>
      <c r="P19" s="3"/>
      <c r="Q19" s="12" t="s">
        <v>159</v>
      </c>
      <c r="R19" s="12" t="s">
        <v>160</v>
      </c>
      <c r="S19" s="12" t="s">
        <v>89</v>
      </c>
      <c r="T19" s="12">
        <v>1</v>
      </c>
      <c r="U19" s="12" t="s">
        <v>90</v>
      </c>
      <c r="V19" s="18">
        <v>13160.869565000001</v>
      </c>
      <c r="W19" s="10">
        <f t="shared" si="4"/>
        <v>13160.869565000001</v>
      </c>
      <c r="X19" s="11">
        <v>6</v>
      </c>
      <c r="Y19" s="11">
        <f t="shared" si="5"/>
        <v>6</v>
      </c>
      <c r="Z19" s="10">
        <f>IF(Inställningar!$B$5="",0,Inställningar!$B$5)</f>
        <v>850</v>
      </c>
      <c r="AA19" s="10">
        <f t="shared" si="6"/>
        <v>5100</v>
      </c>
      <c r="AB19" s="4">
        <v>0</v>
      </c>
      <c r="AC19" s="13">
        <f>IF(Inställningar!$B$6="",0,Inställningar!$B$6)</f>
        <v>0.15</v>
      </c>
      <c r="AD19" s="10">
        <f t="shared" si="7"/>
        <v>21000</v>
      </c>
      <c r="AE19" s="12" t="s">
        <v>288</v>
      </c>
    </row>
    <row r="20" spans="1:31" ht="29.25">
      <c r="A20" s="7" t="s">
        <v>46</v>
      </c>
      <c r="B20" s="7" t="s">
        <v>174</v>
      </c>
      <c r="C20" s="7" t="s">
        <v>188</v>
      </c>
      <c r="D20" s="7" t="s">
        <v>159</v>
      </c>
      <c r="E20" s="7" t="s">
        <v>189</v>
      </c>
      <c r="F20" s="7" t="s">
        <v>30</v>
      </c>
      <c r="G20" s="8">
        <v>21000</v>
      </c>
      <c r="H20" s="9">
        <v>6</v>
      </c>
      <c r="I20" s="7" t="s">
        <v>85</v>
      </c>
      <c r="J20" s="7" t="s">
        <v>46</v>
      </c>
      <c r="K20" s="10">
        <f t="shared" si="0"/>
        <v>21000</v>
      </c>
      <c r="L20" s="11">
        <f t="shared" si="1"/>
        <v>6</v>
      </c>
      <c r="M20" s="10">
        <f t="shared" si="2"/>
        <v>21000</v>
      </c>
      <c r="N20" s="11">
        <f t="shared" si="3"/>
        <v>6</v>
      </c>
      <c r="O20" s="3" t="s">
        <v>313</v>
      </c>
      <c r="P20" s="3"/>
      <c r="Q20" s="12" t="s">
        <v>163</v>
      </c>
      <c r="R20" s="12" t="s">
        <v>164</v>
      </c>
      <c r="S20" s="12" t="s">
        <v>89</v>
      </c>
      <c r="T20" s="12">
        <v>1</v>
      </c>
      <c r="U20" s="12" t="s">
        <v>90</v>
      </c>
      <c r="V20" s="18">
        <v>21895.652173999999</v>
      </c>
      <c r="W20" s="10">
        <f t="shared" si="4"/>
        <v>21895.652173999999</v>
      </c>
      <c r="X20" s="11">
        <v>8</v>
      </c>
      <c r="Y20" s="11">
        <f t="shared" si="5"/>
        <v>8</v>
      </c>
      <c r="Z20" s="10">
        <f>IF(Inställningar!$B$5="",0,Inställningar!$B$5)</f>
        <v>850</v>
      </c>
      <c r="AA20" s="10">
        <f t="shared" si="6"/>
        <v>6800</v>
      </c>
      <c r="AB20" s="4">
        <v>0</v>
      </c>
      <c r="AC20" s="13">
        <f>IF(Inställningar!$B$6="",0,Inställningar!$B$6)</f>
        <v>0.15</v>
      </c>
      <c r="AD20" s="10">
        <f t="shared" si="7"/>
        <v>33000</v>
      </c>
      <c r="AE20" s="12" t="s">
        <v>288</v>
      </c>
    </row>
    <row r="21" spans="1:31" ht="29.25">
      <c r="A21" s="7" t="s">
        <v>46</v>
      </c>
      <c r="B21" s="7" t="s">
        <v>174</v>
      </c>
      <c r="C21" s="7" t="s">
        <v>191</v>
      </c>
      <c r="D21" s="7" t="s">
        <v>163</v>
      </c>
      <c r="E21" s="7" t="s">
        <v>189</v>
      </c>
      <c r="F21" s="7" t="s">
        <v>30</v>
      </c>
      <c r="G21" s="8">
        <v>33000</v>
      </c>
      <c r="H21" s="9">
        <v>8</v>
      </c>
      <c r="I21" s="7" t="s">
        <v>85</v>
      </c>
      <c r="J21" s="7" t="s">
        <v>46</v>
      </c>
      <c r="K21" s="10">
        <f t="shared" si="0"/>
        <v>33000</v>
      </c>
      <c r="L21" s="11">
        <f t="shared" si="1"/>
        <v>8</v>
      </c>
      <c r="M21" s="10">
        <f t="shared" si="2"/>
        <v>33000</v>
      </c>
      <c r="N21" s="11">
        <f t="shared" si="3"/>
        <v>8</v>
      </c>
      <c r="O21" s="3" t="s">
        <v>314</v>
      </c>
      <c r="P21" s="3"/>
      <c r="Q21" s="12" t="s">
        <v>167</v>
      </c>
      <c r="R21" s="12" t="s">
        <v>168</v>
      </c>
      <c r="S21" s="12" t="s">
        <v>89</v>
      </c>
      <c r="T21" s="12">
        <v>1</v>
      </c>
      <c r="U21" s="12" t="s">
        <v>90</v>
      </c>
      <c r="V21" s="18">
        <v>33278.260869999998</v>
      </c>
      <c r="W21" s="10">
        <f t="shared" si="4"/>
        <v>33278.260869999998</v>
      </c>
      <c r="X21" s="11">
        <v>12</v>
      </c>
      <c r="Y21" s="11">
        <f t="shared" si="5"/>
        <v>12</v>
      </c>
      <c r="Z21" s="10">
        <f>IF(Inställningar!$B$5="",0,Inställningar!$B$5)</f>
        <v>850</v>
      </c>
      <c r="AA21" s="10">
        <f t="shared" si="6"/>
        <v>10200</v>
      </c>
      <c r="AB21" s="4">
        <v>0</v>
      </c>
      <c r="AC21" s="13">
        <f>IF(Inställningar!$B$6="",0,Inställningar!$B$6)</f>
        <v>0.15</v>
      </c>
      <c r="AD21" s="10">
        <f t="shared" si="7"/>
        <v>50000</v>
      </c>
      <c r="AE21" s="12" t="s">
        <v>288</v>
      </c>
    </row>
    <row r="22" spans="1:31" ht="29.25">
      <c r="A22" s="7" t="s">
        <v>46</v>
      </c>
      <c r="B22" s="7" t="s">
        <v>174</v>
      </c>
      <c r="C22" s="7" t="s">
        <v>193</v>
      </c>
      <c r="D22" s="7" t="s">
        <v>167</v>
      </c>
      <c r="E22" s="7" t="s">
        <v>189</v>
      </c>
      <c r="F22" s="7" t="s">
        <v>30</v>
      </c>
      <c r="G22" s="8">
        <v>50000</v>
      </c>
      <c r="H22" s="9">
        <v>12</v>
      </c>
      <c r="I22" s="7" t="s">
        <v>85</v>
      </c>
      <c r="J22" s="7" t="s">
        <v>46</v>
      </c>
      <c r="K22" s="10">
        <f t="shared" si="0"/>
        <v>50000</v>
      </c>
      <c r="L22" s="11">
        <f t="shared" si="1"/>
        <v>12</v>
      </c>
      <c r="M22" s="10">
        <f t="shared" si="2"/>
        <v>50000</v>
      </c>
      <c r="N22" s="11">
        <f t="shared" si="3"/>
        <v>12</v>
      </c>
      <c r="O22" s="3" t="s">
        <v>315</v>
      </c>
      <c r="P22" s="3"/>
      <c r="Q22" s="12" t="s">
        <v>316</v>
      </c>
      <c r="R22" s="12" t="s">
        <v>317</v>
      </c>
      <c r="S22" s="12" t="s">
        <v>89</v>
      </c>
      <c r="T22" s="12">
        <v>1</v>
      </c>
      <c r="U22" s="12" t="s">
        <v>90</v>
      </c>
      <c r="V22" s="18">
        <v>20947.826087000001</v>
      </c>
      <c r="W22" s="10">
        <f t="shared" si="4"/>
        <v>20947.826087000001</v>
      </c>
      <c r="X22" s="11">
        <v>4</v>
      </c>
      <c r="Y22" s="11">
        <f t="shared" si="5"/>
        <v>4</v>
      </c>
      <c r="Z22" s="10">
        <f>IF(Inställningar!$B$5="",0,Inställningar!$B$5)</f>
        <v>850</v>
      </c>
      <c r="AA22" s="10">
        <f t="shared" si="6"/>
        <v>3400</v>
      </c>
      <c r="AB22" s="4">
        <v>0</v>
      </c>
      <c r="AC22" s="13">
        <f>IF(Inställningar!$B$6="",0,Inställningar!$B$6)</f>
        <v>0.15</v>
      </c>
      <c r="AD22" s="10">
        <f t="shared" si="7"/>
        <v>28000</v>
      </c>
      <c r="AE22" s="12" t="s">
        <v>288</v>
      </c>
    </row>
    <row r="23" spans="1:31" ht="29.25">
      <c r="A23" s="7" t="s">
        <v>46</v>
      </c>
      <c r="B23" s="7" t="s">
        <v>318</v>
      </c>
      <c r="C23" s="7" t="s">
        <v>319</v>
      </c>
      <c r="D23" s="7" t="s">
        <v>316</v>
      </c>
      <c r="E23" s="7" t="s">
        <v>320</v>
      </c>
      <c r="F23" s="7" t="s">
        <v>84</v>
      </c>
      <c r="G23" s="8">
        <v>28000</v>
      </c>
      <c r="H23" s="9">
        <v>4</v>
      </c>
      <c r="I23" s="7" t="s">
        <v>85</v>
      </c>
      <c r="J23" s="7" t="s">
        <v>46</v>
      </c>
      <c r="K23" s="10">
        <f t="shared" si="0"/>
        <v>28000</v>
      </c>
      <c r="L23" s="11">
        <f t="shared" si="1"/>
        <v>4</v>
      </c>
      <c r="M23" s="10">
        <f t="shared" si="2"/>
        <v>28000</v>
      </c>
      <c r="N23" s="11">
        <f t="shared" si="3"/>
        <v>4</v>
      </c>
      <c r="O23" s="3" t="s">
        <v>321</v>
      </c>
      <c r="P23" s="3"/>
      <c r="Q23" s="12" t="s">
        <v>322</v>
      </c>
      <c r="R23" s="12" t="s">
        <v>323</v>
      </c>
      <c r="S23" s="12" t="s">
        <v>89</v>
      </c>
      <c r="T23" s="12">
        <v>1</v>
      </c>
      <c r="U23" s="12" t="s">
        <v>90</v>
      </c>
      <c r="V23" s="18">
        <v>49721.739130000002</v>
      </c>
      <c r="W23" s="10">
        <f t="shared" si="4"/>
        <v>49721.739130000002</v>
      </c>
      <c r="X23" s="11">
        <v>8</v>
      </c>
      <c r="Y23" s="11">
        <f t="shared" si="5"/>
        <v>8</v>
      </c>
      <c r="Z23" s="10">
        <f>IF(Inställningar!$B$5="",0,Inställningar!$B$5)</f>
        <v>850</v>
      </c>
      <c r="AA23" s="10">
        <f t="shared" si="6"/>
        <v>6800</v>
      </c>
      <c r="AB23" s="4">
        <v>0</v>
      </c>
      <c r="AC23" s="13">
        <f>IF(Inställningar!$B$6="",0,Inställningar!$B$6)</f>
        <v>0.15</v>
      </c>
      <c r="AD23" s="10">
        <f t="shared" si="7"/>
        <v>65000</v>
      </c>
      <c r="AE23" s="12" t="s">
        <v>288</v>
      </c>
    </row>
    <row r="24" spans="1:31" ht="29.25">
      <c r="A24" s="7" t="s">
        <v>46</v>
      </c>
      <c r="B24" s="7" t="s">
        <v>318</v>
      </c>
      <c r="C24" s="7" t="s">
        <v>324</v>
      </c>
      <c r="D24" s="7" t="s">
        <v>322</v>
      </c>
      <c r="E24" s="7" t="s">
        <v>325</v>
      </c>
      <c r="F24" s="7" t="s">
        <v>84</v>
      </c>
      <c r="G24" s="8">
        <v>65000</v>
      </c>
      <c r="H24" s="9">
        <v>8</v>
      </c>
      <c r="I24" s="7" t="s">
        <v>85</v>
      </c>
      <c r="J24" s="7" t="s">
        <v>46</v>
      </c>
      <c r="K24" s="10">
        <f t="shared" si="0"/>
        <v>65000</v>
      </c>
      <c r="L24" s="11">
        <f t="shared" si="1"/>
        <v>8</v>
      </c>
      <c r="M24" s="10">
        <f t="shared" si="2"/>
        <v>65000</v>
      </c>
      <c r="N24" s="11">
        <f t="shared" si="3"/>
        <v>8</v>
      </c>
      <c r="O24" s="3" t="s">
        <v>326</v>
      </c>
      <c r="P24" s="3"/>
      <c r="Q24" s="12" t="s">
        <v>186</v>
      </c>
      <c r="R24" s="12" t="s">
        <v>187</v>
      </c>
      <c r="S24" s="12" t="s">
        <v>89</v>
      </c>
      <c r="T24" s="12">
        <v>1</v>
      </c>
      <c r="U24" s="12" t="s">
        <v>90</v>
      </c>
      <c r="V24" s="18">
        <v>8773.9130430000005</v>
      </c>
      <c r="W24" s="10">
        <f t="shared" si="4"/>
        <v>8773.9130430000005</v>
      </c>
      <c r="X24" s="11">
        <v>4</v>
      </c>
      <c r="Y24" s="11">
        <f t="shared" si="5"/>
        <v>4</v>
      </c>
      <c r="Z24" s="10">
        <f>IF(Inställningar!$B$5="",0,Inställningar!$B$5)</f>
        <v>850</v>
      </c>
      <c r="AA24" s="10">
        <f t="shared" si="6"/>
        <v>3400</v>
      </c>
      <c r="AB24" s="4">
        <v>0</v>
      </c>
      <c r="AC24" s="13">
        <f>IF(Inställningar!$B$6="",0,Inställningar!$B$6)</f>
        <v>0.15</v>
      </c>
      <c r="AD24" s="10">
        <f t="shared" si="7"/>
        <v>14000</v>
      </c>
      <c r="AE24" s="12" t="s">
        <v>288</v>
      </c>
    </row>
    <row r="25" spans="1:31" ht="29.25">
      <c r="A25" s="7" t="s">
        <v>46</v>
      </c>
      <c r="B25" s="7" t="s">
        <v>205</v>
      </c>
      <c r="C25" s="7" t="s">
        <v>220</v>
      </c>
      <c r="D25" s="7" t="s">
        <v>186</v>
      </c>
      <c r="E25" s="7" t="s">
        <v>327</v>
      </c>
      <c r="F25" s="7" t="s">
        <v>84</v>
      </c>
      <c r="G25" s="8">
        <v>14000</v>
      </c>
      <c r="H25" s="9">
        <v>4</v>
      </c>
      <c r="I25" s="7" t="s">
        <v>85</v>
      </c>
      <c r="J25" s="7" t="s">
        <v>46</v>
      </c>
      <c r="K25" s="10">
        <f t="shared" si="0"/>
        <v>14000</v>
      </c>
      <c r="L25" s="11">
        <f t="shared" si="1"/>
        <v>4</v>
      </c>
      <c r="M25" s="10">
        <f t="shared" si="2"/>
        <v>14000</v>
      </c>
      <c r="N25" s="11">
        <f t="shared" si="3"/>
        <v>4</v>
      </c>
      <c r="O25" s="3" t="s">
        <v>328</v>
      </c>
      <c r="P25" s="3"/>
      <c r="Q25" s="12"/>
      <c r="R25" s="12"/>
      <c r="S25" s="12"/>
      <c r="T25" s="12"/>
      <c r="U25" s="12"/>
      <c r="V25" s="18"/>
      <c r="W25" s="10">
        <f t="shared" si="4"/>
        <v>0</v>
      </c>
      <c r="X25" s="11"/>
      <c r="Y25" s="11">
        <f t="shared" si="5"/>
        <v>0</v>
      </c>
      <c r="Z25" s="10">
        <f>IF(Inställningar!$B$5="",0,Inställningar!$B$5)</f>
        <v>850</v>
      </c>
      <c r="AA25" s="10">
        <f t="shared" si="6"/>
        <v>0</v>
      </c>
      <c r="AB25" s="4"/>
      <c r="AC25" s="13">
        <f>IF(Inställningar!$B$6="",0,Inställningar!$B$6)</f>
        <v>0.15</v>
      </c>
      <c r="AD25" s="10">
        <f t="shared" si="7"/>
        <v>0</v>
      </c>
      <c r="AE25" s="12"/>
    </row>
    <row r="26" spans="1:31">
      <c r="A26" s="7" t="s">
        <v>46</v>
      </c>
      <c r="B26" s="7" t="s">
        <v>205</v>
      </c>
      <c r="C26" s="7" t="s">
        <v>222</v>
      </c>
      <c r="D26" s="7" t="s">
        <v>223</v>
      </c>
      <c r="E26" s="7" t="s">
        <v>329</v>
      </c>
      <c r="F26" s="7" t="s">
        <v>209</v>
      </c>
      <c r="G26" s="8">
        <v>0</v>
      </c>
      <c r="H26" s="9">
        <v>0</v>
      </c>
      <c r="I26" s="7" t="s">
        <v>85</v>
      </c>
      <c r="J26" s="7" t="s">
        <v>85</v>
      </c>
      <c r="K26" s="10">
        <f t="shared" si="0"/>
        <v>0</v>
      </c>
      <c r="L26" s="11">
        <f t="shared" si="1"/>
        <v>0</v>
      </c>
      <c r="M26" s="10">
        <f t="shared" si="2"/>
        <v>0</v>
      </c>
      <c r="N26" s="11">
        <f t="shared" si="3"/>
        <v>0</v>
      </c>
      <c r="O26" s="3" t="s">
        <v>330</v>
      </c>
      <c r="P26" s="3"/>
      <c r="Q26" s="12"/>
      <c r="R26" s="12"/>
      <c r="S26" s="12"/>
      <c r="T26" s="12"/>
      <c r="U26" s="12"/>
      <c r="V26" s="18"/>
      <c r="W26" s="10">
        <f t="shared" si="4"/>
        <v>0</v>
      </c>
      <c r="X26" s="11"/>
      <c r="Y26" s="11">
        <f t="shared" si="5"/>
        <v>0</v>
      </c>
      <c r="Z26" s="10">
        <f>IF(Inställningar!$B$5="",0,Inställningar!$B$5)</f>
        <v>850</v>
      </c>
      <c r="AA26" s="10">
        <f t="shared" si="6"/>
        <v>0</v>
      </c>
      <c r="AB26" s="4"/>
      <c r="AC26" s="13">
        <f>IF(Inställningar!$B$6="",0,Inställningar!$B$6)</f>
        <v>0.15</v>
      </c>
      <c r="AD26" s="10">
        <f t="shared" si="7"/>
        <v>0</v>
      </c>
      <c r="AE26" s="12"/>
    </row>
    <row r="27" spans="1:31">
      <c r="A27" s="7" t="s">
        <v>46</v>
      </c>
      <c r="B27" s="7" t="s">
        <v>205</v>
      </c>
      <c r="C27" s="7" t="s">
        <v>225</v>
      </c>
      <c r="D27" s="7" t="s">
        <v>226</v>
      </c>
      <c r="E27" s="7" t="s">
        <v>331</v>
      </c>
      <c r="F27" s="7" t="s">
        <v>145</v>
      </c>
      <c r="G27" s="8">
        <v>0</v>
      </c>
      <c r="H27" s="9">
        <v>0</v>
      </c>
      <c r="I27" s="7" t="s">
        <v>46</v>
      </c>
      <c r="J27" s="7" t="s">
        <v>85</v>
      </c>
      <c r="K27" s="10">
        <f t="shared" si="0"/>
        <v>0</v>
      </c>
      <c r="L27" s="11">
        <f t="shared" si="1"/>
        <v>0</v>
      </c>
      <c r="M27" s="10">
        <f t="shared" si="2"/>
        <v>0</v>
      </c>
      <c r="N27" s="11">
        <f t="shared" si="3"/>
        <v>0</v>
      </c>
      <c r="O27" s="3" t="s">
        <v>332</v>
      </c>
      <c r="P27" s="3"/>
      <c r="Q27" s="12"/>
      <c r="R27" s="12"/>
      <c r="S27" s="12"/>
      <c r="T27" s="12"/>
      <c r="U27" s="12"/>
      <c r="V27" s="18"/>
      <c r="W27" s="10">
        <f t="shared" si="4"/>
        <v>0</v>
      </c>
      <c r="X27" s="11"/>
      <c r="Y27" s="11">
        <f t="shared" si="5"/>
        <v>0</v>
      </c>
      <c r="Z27" s="10">
        <f>IF(Inställningar!$B$5="",0,Inställningar!$B$5)</f>
        <v>850</v>
      </c>
      <c r="AA27" s="10">
        <f t="shared" si="6"/>
        <v>0</v>
      </c>
      <c r="AB27" s="4"/>
      <c r="AC27" s="13">
        <f>IF(Inställningar!$B$6="",0,Inställningar!$B$6)</f>
        <v>0.15</v>
      </c>
      <c r="AD27" s="10">
        <f t="shared" si="7"/>
        <v>0</v>
      </c>
      <c r="AE27" s="12"/>
    </row>
    <row r="28" spans="1:31">
      <c r="A28" s="7" t="s">
        <v>46</v>
      </c>
      <c r="B28" s="7" t="s">
        <v>205</v>
      </c>
      <c r="C28" s="7" t="s">
        <v>228</v>
      </c>
      <c r="D28" s="7" t="s">
        <v>229</v>
      </c>
      <c r="E28" s="7" t="s">
        <v>230</v>
      </c>
      <c r="F28" s="7" t="s">
        <v>231</v>
      </c>
      <c r="G28" s="8">
        <v>0</v>
      </c>
      <c r="H28" s="9">
        <v>0</v>
      </c>
      <c r="I28" s="7" t="s">
        <v>85</v>
      </c>
      <c r="J28" s="7" t="s">
        <v>85</v>
      </c>
      <c r="K28" s="10">
        <f t="shared" si="0"/>
        <v>0</v>
      </c>
      <c r="L28" s="11">
        <f t="shared" si="1"/>
        <v>0</v>
      </c>
      <c r="M28" s="10">
        <f t="shared" si="2"/>
        <v>0</v>
      </c>
      <c r="N28" s="11">
        <f t="shared" si="3"/>
        <v>0</v>
      </c>
      <c r="O28" s="3" t="s">
        <v>333</v>
      </c>
      <c r="P28" s="3"/>
      <c r="Q28" s="12"/>
      <c r="R28" s="12"/>
      <c r="S28" s="12"/>
      <c r="T28" s="12"/>
      <c r="U28" s="12"/>
      <c r="V28" s="18"/>
      <c r="W28" s="10">
        <f t="shared" si="4"/>
        <v>0</v>
      </c>
      <c r="X28" s="11"/>
      <c r="Y28" s="11">
        <f t="shared" si="5"/>
        <v>0</v>
      </c>
      <c r="Z28" s="10">
        <f>IF(Inställningar!$B$5="",0,Inställningar!$B$5)</f>
        <v>850</v>
      </c>
      <c r="AA28" s="10">
        <f t="shared" si="6"/>
        <v>0</v>
      </c>
      <c r="AB28" s="4"/>
      <c r="AC28" s="13">
        <f>IF(Inställningar!$B$6="",0,Inställningar!$B$6)</f>
        <v>0.15</v>
      </c>
      <c r="AD28" s="10">
        <f t="shared" si="7"/>
        <v>0</v>
      </c>
      <c r="AE28" s="12"/>
    </row>
    <row r="29" spans="1:31">
      <c r="A29" s="7" t="s">
        <v>85</v>
      </c>
      <c r="B29" s="7"/>
      <c r="C29" s="7"/>
      <c r="D29" s="7"/>
      <c r="E29" s="7"/>
      <c r="F29" s="7"/>
      <c r="G29" s="8"/>
      <c r="H29" s="9"/>
      <c r="I29" s="7" t="s">
        <v>85</v>
      </c>
      <c r="J29" s="7" t="s">
        <v>85</v>
      </c>
      <c r="K29" s="10" t="str">
        <f t="shared" si="0"/>
        <v/>
      </c>
      <c r="L29" s="11" t="str">
        <f t="shared" si="1"/>
        <v/>
      </c>
      <c r="M29" s="10" t="str">
        <f t="shared" si="2"/>
        <v/>
      </c>
      <c r="N29" s="11" t="str">
        <f t="shared" si="3"/>
        <v/>
      </c>
      <c r="O29" s="3"/>
      <c r="P29" s="3"/>
      <c r="Q29" s="12"/>
      <c r="R29" s="12"/>
      <c r="S29" s="12"/>
      <c r="T29" s="12"/>
      <c r="U29" s="12"/>
      <c r="V29" s="18"/>
      <c r="W29" s="10">
        <f t="shared" si="4"/>
        <v>0</v>
      </c>
      <c r="X29" s="11"/>
      <c r="Y29" s="11">
        <f t="shared" si="5"/>
        <v>0</v>
      </c>
      <c r="Z29" s="10">
        <f>IF(Inställningar!$B$5="",0,Inställningar!$B$5)</f>
        <v>850</v>
      </c>
      <c r="AA29" s="10">
        <f t="shared" si="6"/>
        <v>0</v>
      </c>
      <c r="AB29" s="4"/>
      <c r="AC29" s="13">
        <f>IF(Inställningar!$B$6="",0,Inställningar!$B$6)</f>
        <v>0.15</v>
      </c>
      <c r="AD29" s="10">
        <f t="shared" si="7"/>
        <v>0</v>
      </c>
      <c r="AE29" s="12"/>
    </row>
    <row r="30" spans="1:31">
      <c r="A30" s="7" t="s">
        <v>85</v>
      </c>
      <c r="B30" s="7"/>
      <c r="C30" s="7"/>
      <c r="D30" s="7"/>
      <c r="E30" s="7"/>
      <c r="F30" s="7"/>
      <c r="G30" s="8"/>
      <c r="H30" s="9"/>
      <c r="I30" s="7" t="s">
        <v>85</v>
      </c>
      <c r="J30" s="7" t="s">
        <v>85</v>
      </c>
      <c r="K30" s="10" t="str">
        <f t="shared" si="0"/>
        <v/>
      </c>
      <c r="L30" s="11" t="str">
        <f t="shared" si="1"/>
        <v/>
      </c>
      <c r="M30" s="10" t="str">
        <f t="shared" si="2"/>
        <v/>
      </c>
      <c r="N30" s="11" t="str">
        <f t="shared" si="3"/>
        <v/>
      </c>
      <c r="O30" s="3"/>
      <c r="P30" s="3"/>
      <c r="Q30" s="12"/>
      <c r="R30" s="12"/>
      <c r="S30" s="12"/>
      <c r="T30" s="12"/>
      <c r="U30" s="12"/>
      <c r="V30" s="18"/>
      <c r="W30" s="10">
        <f t="shared" si="4"/>
        <v>0</v>
      </c>
      <c r="X30" s="11"/>
      <c r="Y30" s="11">
        <f t="shared" si="5"/>
        <v>0</v>
      </c>
      <c r="Z30" s="10">
        <f>IF(Inställningar!$B$5="",0,Inställningar!$B$5)</f>
        <v>850</v>
      </c>
      <c r="AA30" s="10">
        <f t="shared" si="6"/>
        <v>0</v>
      </c>
      <c r="AB30" s="4"/>
      <c r="AC30" s="13">
        <f>IF(Inställningar!$B$6="",0,Inställningar!$B$6)</f>
        <v>0.15</v>
      </c>
      <c r="AD30" s="10">
        <f t="shared" si="7"/>
        <v>0</v>
      </c>
      <c r="AE30" s="12"/>
    </row>
    <row r="31" spans="1:31">
      <c r="A31" s="7" t="s">
        <v>85</v>
      </c>
      <c r="B31" s="7"/>
      <c r="C31" s="7"/>
      <c r="D31" s="7"/>
      <c r="E31" s="7"/>
      <c r="F31" s="7"/>
      <c r="G31" s="8"/>
      <c r="H31" s="9"/>
      <c r="I31" s="7" t="s">
        <v>85</v>
      </c>
      <c r="J31" s="7" t="s">
        <v>85</v>
      </c>
      <c r="K31" s="10" t="str">
        <f t="shared" si="0"/>
        <v/>
      </c>
      <c r="L31" s="11" t="str">
        <f t="shared" si="1"/>
        <v/>
      </c>
      <c r="M31" s="10" t="str">
        <f t="shared" si="2"/>
        <v/>
      </c>
      <c r="N31" s="11" t="str">
        <f t="shared" si="3"/>
        <v/>
      </c>
      <c r="O31" s="3"/>
      <c r="P31" s="3"/>
      <c r="Q31" s="12"/>
      <c r="R31" s="12"/>
      <c r="S31" s="12"/>
      <c r="T31" s="12"/>
      <c r="U31" s="12"/>
      <c r="V31" s="18"/>
      <c r="W31" s="10">
        <f t="shared" si="4"/>
        <v>0</v>
      </c>
      <c r="X31" s="11"/>
      <c r="Y31" s="11">
        <f t="shared" si="5"/>
        <v>0</v>
      </c>
      <c r="Z31" s="10">
        <f>IF(Inställningar!$B$5="",0,Inställningar!$B$5)</f>
        <v>850</v>
      </c>
      <c r="AA31" s="10">
        <f t="shared" si="6"/>
        <v>0</v>
      </c>
      <c r="AB31" s="4"/>
      <c r="AC31" s="13">
        <f>IF(Inställningar!$B$6="",0,Inställningar!$B$6)</f>
        <v>0.15</v>
      </c>
      <c r="AD31" s="10">
        <f t="shared" si="7"/>
        <v>0</v>
      </c>
      <c r="AE31" s="12"/>
    </row>
    <row r="32" spans="1:31">
      <c r="A32" s="7" t="s">
        <v>85</v>
      </c>
      <c r="B32" s="7"/>
      <c r="C32" s="7"/>
      <c r="D32" s="7"/>
      <c r="E32" s="7"/>
      <c r="F32" s="7"/>
      <c r="G32" s="8"/>
      <c r="H32" s="9"/>
      <c r="I32" s="7" t="s">
        <v>85</v>
      </c>
      <c r="J32" s="7" t="s">
        <v>85</v>
      </c>
      <c r="K32" s="10" t="str">
        <f t="shared" si="0"/>
        <v/>
      </c>
      <c r="L32" s="11" t="str">
        <f t="shared" si="1"/>
        <v/>
      </c>
      <c r="M32" s="10" t="str">
        <f t="shared" si="2"/>
        <v/>
      </c>
      <c r="N32" s="11" t="str">
        <f t="shared" si="3"/>
        <v/>
      </c>
      <c r="O32" s="3"/>
      <c r="P32" s="3"/>
      <c r="Q32" s="12"/>
      <c r="R32" s="12"/>
      <c r="S32" s="12"/>
      <c r="T32" s="12"/>
      <c r="U32" s="12"/>
      <c r="V32" s="18"/>
      <c r="W32" s="10">
        <f t="shared" si="4"/>
        <v>0</v>
      </c>
      <c r="X32" s="11"/>
      <c r="Y32" s="11">
        <f t="shared" si="5"/>
        <v>0</v>
      </c>
      <c r="Z32" s="10">
        <f>IF(Inställningar!$B$5="",0,Inställningar!$B$5)</f>
        <v>850</v>
      </c>
      <c r="AA32" s="10">
        <f t="shared" si="6"/>
        <v>0</v>
      </c>
      <c r="AB32" s="4"/>
      <c r="AC32" s="13">
        <f>IF(Inställningar!$B$6="",0,Inställningar!$B$6)</f>
        <v>0.15</v>
      </c>
      <c r="AD32" s="10">
        <f t="shared" si="7"/>
        <v>0</v>
      </c>
      <c r="AE32" s="12"/>
    </row>
    <row r="33" spans="1:31">
      <c r="A33" s="7" t="s">
        <v>85</v>
      </c>
      <c r="B33" s="7"/>
      <c r="C33" s="7"/>
      <c r="D33" s="7"/>
      <c r="E33" s="7"/>
      <c r="F33" s="7"/>
      <c r="G33" s="8"/>
      <c r="H33" s="9"/>
      <c r="I33" s="7" t="s">
        <v>85</v>
      </c>
      <c r="J33" s="7" t="s">
        <v>85</v>
      </c>
      <c r="K33" s="10" t="str">
        <f t="shared" si="0"/>
        <v/>
      </c>
      <c r="L33" s="11" t="str">
        <f t="shared" si="1"/>
        <v/>
      </c>
      <c r="M33" s="10" t="str">
        <f t="shared" si="2"/>
        <v/>
      </c>
      <c r="N33" s="11" t="str">
        <f t="shared" si="3"/>
        <v/>
      </c>
      <c r="O33" s="3"/>
      <c r="P33" s="3"/>
      <c r="Q33" s="12"/>
      <c r="R33" s="12"/>
      <c r="S33" s="12"/>
      <c r="T33" s="12"/>
      <c r="U33" s="12"/>
      <c r="V33" s="18"/>
      <c r="W33" s="10">
        <f t="shared" si="4"/>
        <v>0</v>
      </c>
      <c r="X33" s="11"/>
      <c r="Y33" s="11">
        <f t="shared" si="5"/>
        <v>0</v>
      </c>
      <c r="Z33" s="10">
        <f>IF(Inställningar!$B$5="",0,Inställningar!$B$5)</f>
        <v>850</v>
      </c>
      <c r="AA33" s="10">
        <f t="shared" si="6"/>
        <v>0</v>
      </c>
      <c r="AB33" s="4"/>
      <c r="AC33" s="13">
        <f>IF(Inställningar!$B$6="",0,Inställningar!$B$6)</f>
        <v>0.15</v>
      </c>
      <c r="AD33" s="10">
        <f t="shared" si="7"/>
        <v>0</v>
      </c>
      <c r="AE33" s="12"/>
    </row>
    <row r="34" spans="1:31">
      <c r="A34" s="7" t="s">
        <v>85</v>
      </c>
      <c r="B34" s="7"/>
      <c r="C34" s="7"/>
      <c r="D34" s="7"/>
      <c r="E34" s="7"/>
      <c r="F34" s="7"/>
      <c r="G34" s="8"/>
      <c r="H34" s="9"/>
      <c r="I34" s="7" t="s">
        <v>85</v>
      </c>
      <c r="J34" s="7" t="s">
        <v>85</v>
      </c>
      <c r="K34" s="10" t="str">
        <f t="shared" si="0"/>
        <v/>
      </c>
      <c r="L34" s="11" t="str">
        <f t="shared" si="1"/>
        <v/>
      </c>
      <c r="M34" s="10" t="str">
        <f t="shared" si="2"/>
        <v/>
      </c>
      <c r="N34" s="11" t="str">
        <f t="shared" si="3"/>
        <v/>
      </c>
      <c r="O34" s="3"/>
      <c r="P34" s="3"/>
      <c r="Q34" s="12"/>
      <c r="R34" s="12"/>
      <c r="S34" s="12"/>
      <c r="T34" s="12"/>
      <c r="U34" s="12"/>
      <c r="V34" s="18"/>
      <c r="W34" s="10">
        <f t="shared" si="4"/>
        <v>0</v>
      </c>
      <c r="X34" s="11"/>
      <c r="Y34" s="11">
        <f t="shared" si="5"/>
        <v>0</v>
      </c>
      <c r="Z34" s="10">
        <f>IF(Inställningar!$B$5="",0,Inställningar!$B$5)</f>
        <v>850</v>
      </c>
      <c r="AA34" s="10">
        <f t="shared" si="6"/>
        <v>0</v>
      </c>
      <c r="AB34" s="4"/>
      <c r="AC34" s="13">
        <f>IF(Inställningar!$B$6="",0,Inställningar!$B$6)</f>
        <v>0.15</v>
      </c>
      <c r="AD34" s="10">
        <f t="shared" si="7"/>
        <v>0</v>
      </c>
      <c r="AE34" s="12"/>
    </row>
    <row r="35" spans="1:31">
      <c r="A35" s="7" t="s">
        <v>85</v>
      </c>
      <c r="B35" s="7"/>
      <c r="C35" s="7"/>
      <c r="D35" s="7"/>
      <c r="E35" s="7"/>
      <c r="F35" s="7"/>
      <c r="G35" s="8"/>
      <c r="H35" s="9"/>
      <c r="I35" s="7" t="s">
        <v>85</v>
      </c>
      <c r="J35" s="7" t="s">
        <v>85</v>
      </c>
      <c r="K35" s="10" t="str">
        <f t="shared" si="0"/>
        <v/>
      </c>
      <c r="L35" s="11" t="str">
        <f t="shared" si="1"/>
        <v/>
      </c>
      <c r="M35" s="10" t="str">
        <f t="shared" si="2"/>
        <v/>
      </c>
      <c r="N35" s="11" t="str">
        <f t="shared" si="3"/>
        <v/>
      </c>
      <c r="O35" s="3"/>
      <c r="P35" s="3"/>
      <c r="Q35" s="12"/>
      <c r="R35" s="12"/>
      <c r="S35" s="12"/>
      <c r="T35" s="12"/>
      <c r="U35" s="12"/>
      <c r="V35" s="18"/>
      <c r="W35" s="10">
        <f t="shared" si="4"/>
        <v>0</v>
      </c>
      <c r="X35" s="11"/>
      <c r="Y35" s="11">
        <f t="shared" si="5"/>
        <v>0</v>
      </c>
      <c r="Z35" s="10">
        <f>IF(Inställningar!$B$5="",0,Inställningar!$B$5)</f>
        <v>850</v>
      </c>
      <c r="AA35" s="10">
        <f t="shared" si="6"/>
        <v>0</v>
      </c>
      <c r="AB35" s="4"/>
      <c r="AC35" s="13">
        <f>IF(Inställningar!$B$6="",0,Inställningar!$B$6)</f>
        <v>0.15</v>
      </c>
      <c r="AD35" s="10">
        <f t="shared" si="7"/>
        <v>0</v>
      </c>
      <c r="AE35" s="12"/>
    </row>
    <row r="36" spans="1:31">
      <c r="A36" s="7" t="s">
        <v>85</v>
      </c>
      <c r="B36" s="7"/>
      <c r="C36" s="7"/>
      <c r="D36" s="7"/>
      <c r="E36" s="7"/>
      <c r="F36" s="7"/>
      <c r="G36" s="8"/>
      <c r="H36" s="9"/>
      <c r="I36" s="7" t="s">
        <v>85</v>
      </c>
      <c r="J36" s="7" t="s">
        <v>85</v>
      </c>
      <c r="K36" s="10" t="str">
        <f t="shared" si="0"/>
        <v/>
      </c>
      <c r="L36" s="11" t="str">
        <f t="shared" si="1"/>
        <v/>
      </c>
      <c r="M36" s="10" t="str">
        <f t="shared" si="2"/>
        <v/>
      </c>
      <c r="N36" s="11" t="str">
        <f t="shared" si="3"/>
        <v/>
      </c>
      <c r="O36" s="3"/>
      <c r="P36" s="3"/>
      <c r="Q36" s="12"/>
      <c r="R36" s="12"/>
      <c r="S36" s="12"/>
      <c r="T36" s="12"/>
      <c r="U36" s="12"/>
      <c r="V36" s="18"/>
      <c r="W36" s="10">
        <f t="shared" si="4"/>
        <v>0</v>
      </c>
      <c r="X36" s="11"/>
      <c r="Y36" s="11">
        <f t="shared" si="5"/>
        <v>0</v>
      </c>
      <c r="Z36" s="10">
        <f>IF(Inställningar!$B$5="",0,Inställningar!$B$5)</f>
        <v>850</v>
      </c>
      <c r="AA36" s="10">
        <f t="shared" si="6"/>
        <v>0</v>
      </c>
      <c r="AB36" s="4"/>
      <c r="AC36" s="13">
        <f>IF(Inställningar!$B$6="",0,Inställningar!$B$6)</f>
        <v>0.15</v>
      </c>
      <c r="AD36" s="10">
        <f t="shared" si="7"/>
        <v>0</v>
      </c>
      <c r="AE36" s="12"/>
    </row>
    <row r="37" spans="1:31">
      <c r="A37" s="7" t="s">
        <v>85</v>
      </c>
      <c r="B37" s="7"/>
      <c r="C37" s="7"/>
      <c r="D37" s="7"/>
      <c r="E37" s="7"/>
      <c r="F37" s="7"/>
      <c r="G37" s="8"/>
      <c r="H37" s="9"/>
      <c r="I37" s="7" t="s">
        <v>85</v>
      </c>
      <c r="J37" s="7" t="s">
        <v>85</v>
      </c>
      <c r="K37" s="10" t="str">
        <f t="shared" si="0"/>
        <v/>
      </c>
      <c r="L37" s="11" t="str">
        <f t="shared" si="1"/>
        <v/>
      </c>
      <c r="M37" s="10" t="str">
        <f t="shared" si="2"/>
        <v/>
      </c>
      <c r="N37" s="11" t="str">
        <f t="shared" si="3"/>
        <v/>
      </c>
      <c r="O37" s="3"/>
      <c r="P37" s="3"/>
      <c r="Q37" s="12"/>
      <c r="R37" s="12"/>
      <c r="S37" s="12"/>
      <c r="T37" s="12"/>
      <c r="U37" s="12"/>
      <c r="V37" s="18"/>
      <c r="W37" s="10">
        <f t="shared" si="4"/>
        <v>0</v>
      </c>
      <c r="X37" s="11"/>
      <c r="Y37" s="11">
        <f t="shared" si="5"/>
        <v>0</v>
      </c>
      <c r="Z37" s="10">
        <f>IF(Inställningar!$B$5="",0,Inställningar!$B$5)</f>
        <v>850</v>
      </c>
      <c r="AA37" s="10">
        <f t="shared" si="6"/>
        <v>0</v>
      </c>
      <c r="AB37" s="4"/>
      <c r="AC37" s="13">
        <f>IF(Inställningar!$B$6="",0,Inställningar!$B$6)</f>
        <v>0.15</v>
      </c>
      <c r="AD37" s="10">
        <f t="shared" si="7"/>
        <v>0</v>
      </c>
      <c r="AE37" s="12"/>
    </row>
    <row r="38" spans="1:31">
      <c r="A38" s="7" t="s">
        <v>85</v>
      </c>
      <c r="B38" s="7"/>
      <c r="C38" s="7"/>
      <c r="D38" s="7"/>
      <c r="E38" s="7"/>
      <c r="F38" s="7"/>
      <c r="G38" s="8"/>
      <c r="H38" s="9"/>
      <c r="I38" s="7" t="s">
        <v>85</v>
      </c>
      <c r="J38" s="7" t="s">
        <v>85</v>
      </c>
      <c r="K38" s="10" t="str">
        <f t="shared" si="0"/>
        <v/>
      </c>
      <c r="L38" s="11" t="str">
        <f t="shared" si="1"/>
        <v/>
      </c>
      <c r="M38" s="10" t="str">
        <f t="shared" si="2"/>
        <v/>
      </c>
      <c r="N38" s="11" t="str">
        <f t="shared" si="3"/>
        <v/>
      </c>
      <c r="O38" s="3"/>
      <c r="P38" s="3"/>
      <c r="Q38" s="12"/>
      <c r="R38" s="12"/>
      <c r="S38" s="12"/>
      <c r="T38" s="12"/>
      <c r="U38" s="12"/>
      <c r="V38" s="18"/>
      <c r="W38" s="10">
        <f t="shared" si="4"/>
        <v>0</v>
      </c>
      <c r="X38" s="11"/>
      <c r="Y38" s="11">
        <f t="shared" si="5"/>
        <v>0</v>
      </c>
      <c r="Z38" s="10">
        <f>IF(Inställningar!$B$5="",0,Inställningar!$B$5)</f>
        <v>850</v>
      </c>
      <c r="AA38" s="10">
        <f t="shared" si="6"/>
        <v>0</v>
      </c>
      <c r="AB38" s="4"/>
      <c r="AC38" s="13">
        <f>IF(Inställningar!$B$6="",0,Inställningar!$B$6)</f>
        <v>0.15</v>
      </c>
      <c r="AD38" s="10">
        <f t="shared" si="7"/>
        <v>0</v>
      </c>
      <c r="AE38" s="12"/>
    </row>
    <row r="39" spans="1:31">
      <c r="A39" s="7" t="s">
        <v>85</v>
      </c>
      <c r="B39" s="7"/>
      <c r="C39" s="7"/>
      <c r="D39" s="7"/>
      <c r="E39" s="7"/>
      <c r="F39" s="7"/>
      <c r="G39" s="8"/>
      <c r="H39" s="9"/>
      <c r="I39" s="7" t="s">
        <v>85</v>
      </c>
      <c r="J39" s="7" t="s">
        <v>85</v>
      </c>
      <c r="K39" s="10" t="str">
        <f t="shared" si="0"/>
        <v/>
      </c>
      <c r="L39" s="11" t="str">
        <f t="shared" si="1"/>
        <v/>
      </c>
      <c r="M39" s="10" t="str">
        <f t="shared" si="2"/>
        <v/>
      </c>
      <c r="N39" s="11" t="str">
        <f t="shared" si="3"/>
        <v/>
      </c>
      <c r="O39" s="3"/>
      <c r="P39" s="3"/>
      <c r="Q39" s="12"/>
      <c r="R39" s="12"/>
      <c r="S39" s="12"/>
      <c r="T39" s="12"/>
      <c r="U39" s="12"/>
      <c r="V39" s="18"/>
      <c r="W39" s="10">
        <f t="shared" ref="W39:W70" si="8">IF(OR(T39="",V39=""),0,T39*V39)</f>
        <v>0</v>
      </c>
      <c r="X39" s="11"/>
      <c r="Y39" s="11">
        <f t="shared" ref="Y39:Y70" si="9">IF(OR(T39="",X39=""),0,T39*X39)</f>
        <v>0</v>
      </c>
      <c r="Z39" s="10">
        <f>IF(Inställningar!$B$5="",0,Inställningar!$B$5)</f>
        <v>850</v>
      </c>
      <c r="AA39" s="10">
        <f t="shared" ref="AA39:AA70" si="10">Y39*Z39</f>
        <v>0</v>
      </c>
      <c r="AB39" s="4"/>
      <c r="AC39" s="13">
        <f>IF(Inställningar!$B$6="",0,Inställningar!$B$6)</f>
        <v>0.15</v>
      </c>
      <c r="AD39" s="10">
        <f t="shared" ref="AD39:AD70" si="11">ROUND((W39+AA39+IF(AB39="",0,AB39))*(1+AC39),0)</f>
        <v>0</v>
      </c>
      <c r="AE39" s="12"/>
    </row>
    <row r="40" spans="1:31">
      <c r="A40" s="7" t="s">
        <v>85</v>
      </c>
      <c r="B40" s="7"/>
      <c r="C40" s="7"/>
      <c r="D40" s="7"/>
      <c r="E40" s="7"/>
      <c r="F40" s="7"/>
      <c r="G40" s="8"/>
      <c r="H40" s="9"/>
      <c r="I40" s="7" t="s">
        <v>85</v>
      </c>
      <c r="J40" s="7" t="s">
        <v>85</v>
      </c>
      <c r="K40" s="10" t="str">
        <f t="shared" si="0"/>
        <v/>
      </c>
      <c r="L40" s="11" t="str">
        <f t="shared" si="1"/>
        <v/>
      </c>
      <c r="M40" s="10" t="str">
        <f t="shared" si="2"/>
        <v/>
      </c>
      <c r="N40" s="11" t="str">
        <f t="shared" si="3"/>
        <v/>
      </c>
      <c r="O40" s="3"/>
      <c r="P40" s="3"/>
      <c r="Q40" s="12"/>
      <c r="R40" s="12"/>
      <c r="S40" s="12"/>
      <c r="T40" s="12"/>
      <c r="U40" s="12"/>
      <c r="V40" s="18"/>
      <c r="W40" s="10">
        <f t="shared" si="8"/>
        <v>0</v>
      </c>
      <c r="X40" s="11"/>
      <c r="Y40" s="11">
        <f t="shared" si="9"/>
        <v>0</v>
      </c>
      <c r="Z40" s="10">
        <f>IF(Inställningar!$B$5="",0,Inställningar!$B$5)</f>
        <v>850</v>
      </c>
      <c r="AA40" s="10">
        <f t="shared" si="10"/>
        <v>0</v>
      </c>
      <c r="AB40" s="4"/>
      <c r="AC40" s="13">
        <f>IF(Inställningar!$B$6="",0,Inställningar!$B$6)</f>
        <v>0.15</v>
      </c>
      <c r="AD40" s="10">
        <f t="shared" si="11"/>
        <v>0</v>
      </c>
      <c r="AE40" s="12"/>
    </row>
    <row r="41" spans="1:31">
      <c r="A41" s="7" t="s">
        <v>85</v>
      </c>
      <c r="B41" s="7"/>
      <c r="C41" s="7"/>
      <c r="D41" s="7"/>
      <c r="E41" s="7"/>
      <c r="F41" s="7"/>
      <c r="G41" s="8"/>
      <c r="H41" s="9"/>
      <c r="I41" s="7" t="s">
        <v>85</v>
      </c>
      <c r="J41" s="7" t="s">
        <v>85</v>
      </c>
      <c r="K41" s="10" t="str">
        <f t="shared" si="0"/>
        <v/>
      </c>
      <c r="L41" s="11" t="str">
        <f t="shared" si="1"/>
        <v/>
      </c>
      <c r="M41" s="10" t="str">
        <f t="shared" si="2"/>
        <v/>
      </c>
      <c r="N41" s="11" t="str">
        <f t="shared" si="3"/>
        <v/>
      </c>
      <c r="O41" s="3"/>
      <c r="P41" s="3"/>
      <c r="Q41" s="12"/>
      <c r="R41" s="12"/>
      <c r="S41" s="12"/>
      <c r="T41" s="12"/>
      <c r="U41" s="12"/>
      <c r="V41" s="18"/>
      <c r="W41" s="10">
        <f t="shared" si="8"/>
        <v>0</v>
      </c>
      <c r="X41" s="11"/>
      <c r="Y41" s="11">
        <f t="shared" si="9"/>
        <v>0</v>
      </c>
      <c r="Z41" s="10">
        <f>IF(Inställningar!$B$5="",0,Inställningar!$B$5)</f>
        <v>850</v>
      </c>
      <c r="AA41" s="10">
        <f t="shared" si="10"/>
        <v>0</v>
      </c>
      <c r="AB41" s="4"/>
      <c r="AC41" s="13">
        <f>IF(Inställningar!$B$6="",0,Inställningar!$B$6)</f>
        <v>0.15</v>
      </c>
      <c r="AD41" s="10">
        <f t="shared" si="11"/>
        <v>0</v>
      </c>
      <c r="AE41" s="12"/>
    </row>
    <row r="42" spans="1:31">
      <c r="A42" s="7" t="s">
        <v>85</v>
      </c>
      <c r="B42" s="7"/>
      <c r="C42" s="7"/>
      <c r="D42" s="7"/>
      <c r="E42" s="7"/>
      <c r="F42" s="7"/>
      <c r="G42" s="8"/>
      <c r="H42" s="9"/>
      <c r="I42" s="7" t="s">
        <v>85</v>
      </c>
      <c r="J42" s="7" t="s">
        <v>85</v>
      </c>
      <c r="K42" s="10" t="str">
        <f t="shared" si="0"/>
        <v/>
      </c>
      <c r="L42" s="11" t="str">
        <f t="shared" si="1"/>
        <v/>
      </c>
      <c r="M42" s="10" t="str">
        <f t="shared" si="2"/>
        <v/>
      </c>
      <c r="N42" s="11" t="str">
        <f t="shared" si="3"/>
        <v/>
      </c>
      <c r="O42" s="3"/>
      <c r="P42" s="3"/>
      <c r="Q42" s="12"/>
      <c r="R42" s="12"/>
      <c r="S42" s="12"/>
      <c r="T42" s="12"/>
      <c r="U42" s="12"/>
      <c r="V42" s="18"/>
      <c r="W42" s="10">
        <f t="shared" si="8"/>
        <v>0</v>
      </c>
      <c r="X42" s="11"/>
      <c r="Y42" s="11">
        <f t="shared" si="9"/>
        <v>0</v>
      </c>
      <c r="Z42" s="10">
        <f>IF(Inställningar!$B$5="",0,Inställningar!$B$5)</f>
        <v>850</v>
      </c>
      <c r="AA42" s="10">
        <f t="shared" si="10"/>
        <v>0</v>
      </c>
      <c r="AB42" s="4"/>
      <c r="AC42" s="13">
        <f>IF(Inställningar!$B$6="",0,Inställningar!$B$6)</f>
        <v>0.15</v>
      </c>
      <c r="AD42" s="10">
        <f t="shared" si="11"/>
        <v>0</v>
      </c>
      <c r="AE42" s="12"/>
    </row>
    <row r="43" spans="1:31">
      <c r="A43" s="7" t="s">
        <v>85</v>
      </c>
      <c r="B43" s="7"/>
      <c r="C43" s="7"/>
      <c r="D43" s="7"/>
      <c r="E43" s="7"/>
      <c r="F43" s="7"/>
      <c r="G43" s="8"/>
      <c r="H43" s="9"/>
      <c r="I43" s="7" t="s">
        <v>85</v>
      </c>
      <c r="J43" s="7" t="s">
        <v>85</v>
      </c>
      <c r="K43" s="10" t="str">
        <f t="shared" si="0"/>
        <v/>
      </c>
      <c r="L43" s="11" t="str">
        <f t="shared" si="1"/>
        <v/>
      </c>
      <c r="M43" s="10" t="str">
        <f t="shared" si="2"/>
        <v/>
      </c>
      <c r="N43" s="11" t="str">
        <f t="shared" si="3"/>
        <v/>
      </c>
      <c r="O43" s="3"/>
      <c r="P43" s="3"/>
      <c r="Q43" s="12"/>
      <c r="R43" s="12"/>
      <c r="S43" s="12"/>
      <c r="T43" s="12"/>
      <c r="U43" s="12"/>
      <c r="V43" s="18"/>
      <c r="W43" s="10">
        <f t="shared" si="8"/>
        <v>0</v>
      </c>
      <c r="X43" s="11"/>
      <c r="Y43" s="11">
        <f t="shared" si="9"/>
        <v>0</v>
      </c>
      <c r="Z43" s="10">
        <f>IF(Inställningar!$B$5="",0,Inställningar!$B$5)</f>
        <v>850</v>
      </c>
      <c r="AA43" s="10">
        <f t="shared" si="10"/>
        <v>0</v>
      </c>
      <c r="AB43" s="4"/>
      <c r="AC43" s="13">
        <f>IF(Inställningar!$B$6="",0,Inställningar!$B$6)</f>
        <v>0.15</v>
      </c>
      <c r="AD43" s="10">
        <f t="shared" si="11"/>
        <v>0</v>
      </c>
      <c r="AE43" s="12"/>
    </row>
    <row r="44" spans="1:31">
      <c r="A44" s="7" t="s">
        <v>85</v>
      </c>
      <c r="B44" s="7"/>
      <c r="C44" s="7"/>
      <c r="D44" s="7"/>
      <c r="E44" s="7"/>
      <c r="F44" s="7"/>
      <c r="G44" s="8"/>
      <c r="H44" s="9"/>
      <c r="I44" s="7" t="s">
        <v>85</v>
      </c>
      <c r="J44" s="7" t="s">
        <v>85</v>
      </c>
      <c r="K44" s="10" t="str">
        <f t="shared" si="0"/>
        <v/>
      </c>
      <c r="L44" s="11" t="str">
        <f t="shared" si="1"/>
        <v/>
      </c>
      <c r="M44" s="10" t="str">
        <f t="shared" si="2"/>
        <v/>
      </c>
      <c r="N44" s="11" t="str">
        <f t="shared" si="3"/>
        <v/>
      </c>
      <c r="O44" s="3"/>
      <c r="P44" s="3"/>
      <c r="Q44" s="12"/>
      <c r="R44" s="12"/>
      <c r="S44" s="12"/>
      <c r="T44" s="12"/>
      <c r="U44" s="12"/>
      <c r="V44" s="18"/>
      <c r="W44" s="10">
        <f t="shared" si="8"/>
        <v>0</v>
      </c>
      <c r="X44" s="11"/>
      <c r="Y44" s="11">
        <f t="shared" si="9"/>
        <v>0</v>
      </c>
      <c r="Z44" s="10">
        <f>IF(Inställningar!$B$5="",0,Inställningar!$B$5)</f>
        <v>850</v>
      </c>
      <c r="AA44" s="10">
        <f t="shared" si="10"/>
        <v>0</v>
      </c>
      <c r="AB44" s="4"/>
      <c r="AC44" s="13">
        <f>IF(Inställningar!$B$6="",0,Inställningar!$B$6)</f>
        <v>0.15</v>
      </c>
      <c r="AD44" s="10">
        <f t="shared" si="11"/>
        <v>0</v>
      </c>
      <c r="AE44" s="12"/>
    </row>
    <row r="45" spans="1:31">
      <c r="A45" s="7" t="s">
        <v>85</v>
      </c>
      <c r="B45" s="7"/>
      <c r="C45" s="7"/>
      <c r="D45" s="7"/>
      <c r="E45" s="7"/>
      <c r="F45" s="7"/>
      <c r="G45" s="8"/>
      <c r="H45" s="9"/>
      <c r="I45" s="7" t="s">
        <v>85</v>
      </c>
      <c r="J45" s="7" t="s">
        <v>85</v>
      </c>
      <c r="K45" s="10" t="str">
        <f t="shared" si="0"/>
        <v/>
      </c>
      <c r="L45" s="11" t="str">
        <f t="shared" si="1"/>
        <v/>
      </c>
      <c r="M45" s="10" t="str">
        <f t="shared" si="2"/>
        <v/>
      </c>
      <c r="N45" s="11" t="str">
        <f t="shared" si="3"/>
        <v/>
      </c>
      <c r="O45" s="3"/>
      <c r="P45" s="3"/>
      <c r="Q45" s="12"/>
      <c r="R45" s="12"/>
      <c r="S45" s="12"/>
      <c r="T45" s="12"/>
      <c r="U45" s="12"/>
      <c r="V45" s="18"/>
      <c r="W45" s="10">
        <f t="shared" si="8"/>
        <v>0</v>
      </c>
      <c r="X45" s="11"/>
      <c r="Y45" s="11">
        <f t="shared" si="9"/>
        <v>0</v>
      </c>
      <c r="Z45" s="10">
        <f>IF(Inställningar!$B$5="",0,Inställningar!$B$5)</f>
        <v>850</v>
      </c>
      <c r="AA45" s="10">
        <f t="shared" si="10"/>
        <v>0</v>
      </c>
      <c r="AB45" s="4"/>
      <c r="AC45" s="13">
        <f>IF(Inställningar!$B$6="",0,Inställningar!$B$6)</f>
        <v>0.15</v>
      </c>
      <c r="AD45" s="10">
        <f t="shared" si="11"/>
        <v>0</v>
      </c>
      <c r="AE45" s="12"/>
    </row>
    <row r="46" spans="1:31">
      <c r="A46" s="7" t="s">
        <v>85</v>
      </c>
      <c r="B46" s="7"/>
      <c r="C46" s="7"/>
      <c r="D46" s="7"/>
      <c r="E46" s="7"/>
      <c r="F46" s="7"/>
      <c r="G46" s="8"/>
      <c r="H46" s="9"/>
      <c r="I46" s="7" t="s">
        <v>85</v>
      </c>
      <c r="J46" s="7" t="s">
        <v>85</v>
      </c>
      <c r="K46" s="10" t="str">
        <f t="shared" si="0"/>
        <v/>
      </c>
      <c r="L46" s="11" t="str">
        <f t="shared" si="1"/>
        <v/>
      </c>
      <c r="M46" s="10" t="str">
        <f t="shared" si="2"/>
        <v/>
      </c>
      <c r="N46" s="11" t="str">
        <f t="shared" si="3"/>
        <v/>
      </c>
      <c r="O46" s="3"/>
      <c r="P46" s="3"/>
      <c r="Q46" s="12"/>
      <c r="R46" s="12"/>
      <c r="S46" s="12"/>
      <c r="T46" s="12"/>
      <c r="U46" s="12"/>
      <c r="V46" s="18"/>
      <c r="W46" s="10">
        <f t="shared" si="8"/>
        <v>0</v>
      </c>
      <c r="X46" s="11"/>
      <c r="Y46" s="11">
        <f t="shared" si="9"/>
        <v>0</v>
      </c>
      <c r="Z46" s="10">
        <f>IF(Inställningar!$B$5="",0,Inställningar!$B$5)</f>
        <v>850</v>
      </c>
      <c r="AA46" s="10">
        <f t="shared" si="10"/>
        <v>0</v>
      </c>
      <c r="AB46" s="4"/>
      <c r="AC46" s="13">
        <f>IF(Inställningar!$B$6="",0,Inställningar!$B$6)</f>
        <v>0.15</v>
      </c>
      <c r="AD46" s="10">
        <f t="shared" si="11"/>
        <v>0</v>
      </c>
      <c r="AE46" s="12"/>
    </row>
    <row r="47" spans="1:31">
      <c r="A47" s="7" t="s">
        <v>85</v>
      </c>
      <c r="B47" s="7"/>
      <c r="C47" s="7"/>
      <c r="D47" s="7"/>
      <c r="E47" s="7"/>
      <c r="F47" s="7"/>
      <c r="G47" s="8"/>
      <c r="H47" s="9"/>
      <c r="I47" s="7" t="s">
        <v>85</v>
      </c>
      <c r="J47" s="7" t="s">
        <v>85</v>
      </c>
      <c r="K47" s="10" t="str">
        <f t="shared" si="0"/>
        <v/>
      </c>
      <c r="L47" s="11" t="str">
        <f t="shared" si="1"/>
        <v/>
      </c>
      <c r="M47" s="10" t="str">
        <f t="shared" si="2"/>
        <v/>
      </c>
      <c r="N47" s="11" t="str">
        <f t="shared" si="3"/>
        <v/>
      </c>
      <c r="O47" s="3"/>
      <c r="P47" s="3"/>
      <c r="Q47" s="12"/>
      <c r="R47" s="12"/>
      <c r="S47" s="12"/>
      <c r="T47" s="12"/>
      <c r="U47" s="12"/>
      <c r="V47" s="18"/>
      <c r="W47" s="10">
        <f t="shared" si="8"/>
        <v>0</v>
      </c>
      <c r="X47" s="11"/>
      <c r="Y47" s="11">
        <f t="shared" si="9"/>
        <v>0</v>
      </c>
      <c r="Z47" s="10">
        <f>IF(Inställningar!$B$5="",0,Inställningar!$B$5)</f>
        <v>850</v>
      </c>
      <c r="AA47" s="10">
        <f t="shared" si="10"/>
        <v>0</v>
      </c>
      <c r="AB47" s="4"/>
      <c r="AC47" s="13">
        <f>IF(Inställningar!$B$6="",0,Inställningar!$B$6)</f>
        <v>0.15</v>
      </c>
      <c r="AD47" s="10">
        <f t="shared" si="11"/>
        <v>0</v>
      </c>
      <c r="AE47" s="12"/>
    </row>
    <row r="48" spans="1:31">
      <c r="A48" s="7" t="s">
        <v>85</v>
      </c>
      <c r="B48" s="7"/>
      <c r="C48" s="7"/>
      <c r="D48" s="7"/>
      <c r="E48" s="7"/>
      <c r="F48" s="7"/>
      <c r="G48" s="8"/>
      <c r="H48" s="9"/>
      <c r="I48" s="7" t="s">
        <v>85</v>
      </c>
      <c r="J48" s="7" t="s">
        <v>85</v>
      </c>
      <c r="K48" s="10" t="str">
        <f t="shared" si="0"/>
        <v/>
      </c>
      <c r="L48" s="11" t="str">
        <f t="shared" si="1"/>
        <v/>
      </c>
      <c r="M48" s="10" t="str">
        <f t="shared" si="2"/>
        <v/>
      </c>
      <c r="N48" s="11" t="str">
        <f t="shared" si="3"/>
        <v/>
      </c>
      <c r="O48" s="3"/>
      <c r="P48" s="3"/>
      <c r="Q48" s="12"/>
      <c r="R48" s="12"/>
      <c r="S48" s="12"/>
      <c r="T48" s="12"/>
      <c r="U48" s="12"/>
      <c r="V48" s="18"/>
      <c r="W48" s="10">
        <f t="shared" si="8"/>
        <v>0</v>
      </c>
      <c r="X48" s="11"/>
      <c r="Y48" s="11">
        <f t="shared" si="9"/>
        <v>0</v>
      </c>
      <c r="Z48" s="10">
        <f>IF(Inställningar!$B$5="",0,Inställningar!$B$5)</f>
        <v>850</v>
      </c>
      <c r="AA48" s="10">
        <f t="shared" si="10"/>
        <v>0</v>
      </c>
      <c r="AB48" s="4"/>
      <c r="AC48" s="13">
        <f>IF(Inställningar!$B$6="",0,Inställningar!$B$6)</f>
        <v>0.15</v>
      </c>
      <c r="AD48" s="10">
        <f t="shared" si="11"/>
        <v>0</v>
      </c>
      <c r="AE48" s="12"/>
    </row>
    <row r="49" spans="1:31">
      <c r="A49" s="7" t="s">
        <v>85</v>
      </c>
      <c r="B49" s="7"/>
      <c r="C49" s="7"/>
      <c r="D49" s="7"/>
      <c r="E49" s="7"/>
      <c r="F49" s="7"/>
      <c r="G49" s="8"/>
      <c r="H49" s="9"/>
      <c r="I49" s="7" t="s">
        <v>85</v>
      </c>
      <c r="J49" s="7" t="s">
        <v>85</v>
      </c>
      <c r="K49" s="10" t="str">
        <f t="shared" si="0"/>
        <v/>
      </c>
      <c r="L49" s="11" t="str">
        <f t="shared" si="1"/>
        <v/>
      </c>
      <c r="M49" s="10" t="str">
        <f t="shared" si="2"/>
        <v/>
      </c>
      <c r="N49" s="11" t="str">
        <f t="shared" si="3"/>
        <v/>
      </c>
      <c r="O49" s="3"/>
      <c r="P49" s="3"/>
      <c r="Q49" s="12"/>
      <c r="R49" s="12"/>
      <c r="S49" s="12"/>
      <c r="T49" s="12"/>
      <c r="U49" s="12"/>
      <c r="V49" s="18"/>
      <c r="W49" s="10">
        <f t="shared" si="8"/>
        <v>0</v>
      </c>
      <c r="X49" s="11"/>
      <c r="Y49" s="11">
        <f t="shared" si="9"/>
        <v>0</v>
      </c>
      <c r="Z49" s="10">
        <f>IF(Inställningar!$B$5="",0,Inställningar!$B$5)</f>
        <v>850</v>
      </c>
      <c r="AA49" s="10">
        <f t="shared" si="10"/>
        <v>0</v>
      </c>
      <c r="AB49" s="4"/>
      <c r="AC49" s="13">
        <f>IF(Inställningar!$B$6="",0,Inställningar!$B$6)</f>
        <v>0.15</v>
      </c>
      <c r="AD49" s="10">
        <f t="shared" si="11"/>
        <v>0</v>
      </c>
      <c r="AE49" s="12"/>
    </row>
    <row r="50" spans="1:31">
      <c r="A50" s="7" t="s">
        <v>85</v>
      </c>
      <c r="B50" s="7"/>
      <c r="C50" s="7"/>
      <c r="D50" s="7"/>
      <c r="E50" s="7"/>
      <c r="F50" s="7"/>
      <c r="G50" s="8"/>
      <c r="H50" s="9"/>
      <c r="I50" s="7" t="s">
        <v>85</v>
      </c>
      <c r="J50" s="7" t="s">
        <v>85</v>
      </c>
      <c r="K50" s="10" t="str">
        <f t="shared" si="0"/>
        <v/>
      </c>
      <c r="L50" s="11" t="str">
        <f t="shared" si="1"/>
        <v/>
      </c>
      <c r="M50" s="10" t="str">
        <f t="shared" si="2"/>
        <v/>
      </c>
      <c r="N50" s="11" t="str">
        <f t="shared" si="3"/>
        <v/>
      </c>
      <c r="O50" s="3"/>
      <c r="P50" s="3"/>
      <c r="Q50" s="12"/>
      <c r="R50" s="12"/>
      <c r="S50" s="12"/>
      <c r="T50" s="12"/>
      <c r="U50" s="12"/>
      <c r="V50" s="18"/>
      <c r="W50" s="10">
        <f t="shared" si="8"/>
        <v>0</v>
      </c>
      <c r="X50" s="11"/>
      <c r="Y50" s="11">
        <f t="shared" si="9"/>
        <v>0</v>
      </c>
      <c r="Z50" s="10">
        <f>IF(Inställningar!$B$5="",0,Inställningar!$B$5)</f>
        <v>850</v>
      </c>
      <c r="AA50" s="10">
        <f t="shared" si="10"/>
        <v>0</v>
      </c>
      <c r="AB50" s="4"/>
      <c r="AC50" s="13">
        <f>IF(Inställningar!$B$6="",0,Inställningar!$B$6)</f>
        <v>0.15</v>
      </c>
      <c r="AD50" s="10">
        <f t="shared" si="11"/>
        <v>0</v>
      </c>
      <c r="AE50" s="12"/>
    </row>
    <row r="51" spans="1:31">
      <c r="A51" s="7" t="s">
        <v>85</v>
      </c>
      <c r="B51" s="7"/>
      <c r="C51" s="7"/>
      <c r="D51" s="7"/>
      <c r="E51" s="7"/>
      <c r="F51" s="7"/>
      <c r="G51" s="8"/>
      <c r="H51" s="9"/>
      <c r="I51" s="7" t="s">
        <v>85</v>
      </c>
      <c r="J51" s="7" t="s">
        <v>85</v>
      </c>
      <c r="K51" s="10" t="str">
        <f t="shared" si="0"/>
        <v/>
      </c>
      <c r="L51" s="11" t="str">
        <f t="shared" si="1"/>
        <v/>
      </c>
      <c r="M51" s="10" t="str">
        <f t="shared" si="2"/>
        <v/>
      </c>
      <c r="N51" s="11" t="str">
        <f t="shared" si="3"/>
        <v/>
      </c>
      <c r="O51" s="3"/>
      <c r="P51" s="3"/>
      <c r="Q51" s="12"/>
      <c r="R51" s="12"/>
      <c r="S51" s="12"/>
      <c r="T51" s="12"/>
      <c r="U51" s="12"/>
      <c r="V51" s="18"/>
      <c r="W51" s="10">
        <f t="shared" si="8"/>
        <v>0</v>
      </c>
      <c r="X51" s="11"/>
      <c r="Y51" s="11">
        <f t="shared" si="9"/>
        <v>0</v>
      </c>
      <c r="Z51" s="10">
        <f>IF(Inställningar!$B$5="",0,Inställningar!$B$5)</f>
        <v>850</v>
      </c>
      <c r="AA51" s="10">
        <f t="shared" si="10"/>
        <v>0</v>
      </c>
      <c r="AB51" s="4"/>
      <c r="AC51" s="13">
        <f>IF(Inställningar!$B$6="",0,Inställningar!$B$6)</f>
        <v>0.15</v>
      </c>
      <c r="AD51" s="10">
        <f t="shared" si="11"/>
        <v>0</v>
      </c>
      <c r="AE51" s="12"/>
    </row>
    <row r="52" spans="1:3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12"/>
      <c r="R52" s="12"/>
      <c r="S52" s="12"/>
      <c r="T52" s="12"/>
      <c r="U52" s="12"/>
      <c r="V52" s="18"/>
      <c r="W52" s="10">
        <f t="shared" si="8"/>
        <v>0</v>
      </c>
      <c r="X52" s="11"/>
      <c r="Y52" s="11">
        <f t="shared" si="9"/>
        <v>0</v>
      </c>
      <c r="Z52" s="10">
        <f>IF(Inställningar!$B$5="",0,Inställningar!$B$5)</f>
        <v>850</v>
      </c>
      <c r="AA52" s="10">
        <f t="shared" si="10"/>
        <v>0</v>
      </c>
      <c r="AB52" s="4"/>
      <c r="AC52" s="13">
        <f>IF(Inställningar!$B$6="",0,Inställningar!$B$6)</f>
        <v>0.15</v>
      </c>
      <c r="AD52" s="10">
        <f t="shared" si="11"/>
        <v>0</v>
      </c>
      <c r="AE52" s="12"/>
    </row>
    <row r="53" spans="1:3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12"/>
      <c r="R53" s="12"/>
      <c r="S53" s="12"/>
      <c r="T53" s="12"/>
      <c r="U53" s="12"/>
      <c r="V53" s="18"/>
      <c r="W53" s="10">
        <f t="shared" si="8"/>
        <v>0</v>
      </c>
      <c r="X53" s="11"/>
      <c r="Y53" s="11">
        <f t="shared" si="9"/>
        <v>0</v>
      </c>
      <c r="Z53" s="10">
        <f>IF(Inställningar!$B$5="",0,Inställningar!$B$5)</f>
        <v>850</v>
      </c>
      <c r="AA53" s="10">
        <f t="shared" si="10"/>
        <v>0</v>
      </c>
      <c r="AB53" s="4"/>
      <c r="AC53" s="13">
        <f>IF(Inställningar!$B$6="",0,Inställningar!$B$6)</f>
        <v>0.15</v>
      </c>
      <c r="AD53" s="10">
        <f t="shared" si="11"/>
        <v>0</v>
      </c>
      <c r="AE53" s="12"/>
    </row>
    <row r="54" spans="1:3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12"/>
      <c r="R54" s="12"/>
      <c r="S54" s="12"/>
      <c r="T54" s="12"/>
      <c r="U54" s="12"/>
      <c r="V54" s="18"/>
      <c r="W54" s="10">
        <f t="shared" si="8"/>
        <v>0</v>
      </c>
      <c r="X54" s="11"/>
      <c r="Y54" s="11">
        <f t="shared" si="9"/>
        <v>0</v>
      </c>
      <c r="Z54" s="10">
        <f>IF(Inställningar!$B$5="",0,Inställningar!$B$5)</f>
        <v>850</v>
      </c>
      <c r="AA54" s="10">
        <f t="shared" si="10"/>
        <v>0</v>
      </c>
      <c r="AB54" s="4"/>
      <c r="AC54" s="13">
        <f>IF(Inställningar!$B$6="",0,Inställningar!$B$6)</f>
        <v>0.15</v>
      </c>
      <c r="AD54" s="10">
        <f t="shared" si="11"/>
        <v>0</v>
      </c>
      <c r="AE54" s="12"/>
    </row>
    <row r="55" spans="1:3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12"/>
      <c r="R55" s="12"/>
      <c r="S55" s="12"/>
      <c r="T55" s="12"/>
      <c r="U55" s="12"/>
      <c r="V55" s="18"/>
      <c r="W55" s="10">
        <f t="shared" si="8"/>
        <v>0</v>
      </c>
      <c r="X55" s="11"/>
      <c r="Y55" s="11">
        <f t="shared" si="9"/>
        <v>0</v>
      </c>
      <c r="Z55" s="10">
        <f>IF(Inställningar!$B$5="",0,Inställningar!$B$5)</f>
        <v>850</v>
      </c>
      <c r="AA55" s="10">
        <f t="shared" si="10"/>
        <v>0</v>
      </c>
      <c r="AB55" s="4"/>
      <c r="AC55" s="13">
        <f>IF(Inställningar!$B$6="",0,Inställningar!$B$6)</f>
        <v>0.15</v>
      </c>
      <c r="AD55" s="10">
        <f t="shared" si="11"/>
        <v>0</v>
      </c>
      <c r="AE55" s="12"/>
    </row>
    <row r="56" spans="1:3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12"/>
      <c r="R56" s="12"/>
      <c r="S56" s="12"/>
      <c r="T56" s="12"/>
      <c r="U56" s="12"/>
      <c r="V56" s="18"/>
      <c r="W56" s="10">
        <f t="shared" si="8"/>
        <v>0</v>
      </c>
      <c r="X56" s="11"/>
      <c r="Y56" s="11">
        <f t="shared" si="9"/>
        <v>0</v>
      </c>
      <c r="Z56" s="10">
        <f>IF(Inställningar!$B$5="",0,Inställningar!$B$5)</f>
        <v>850</v>
      </c>
      <c r="AA56" s="10">
        <f t="shared" si="10"/>
        <v>0</v>
      </c>
      <c r="AB56" s="4"/>
      <c r="AC56" s="13">
        <f>IF(Inställningar!$B$6="",0,Inställningar!$B$6)</f>
        <v>0.15</v>
      </c>
      <c r="AD56" s="10">
        <f t="shared" si="11"/>
        <v>0</v>
      </c>
      <c r="AE56" s="12"/>
    </row>
    <row r="57" spans="1:3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12"/>
      <c r="R57" s="12"/>
      <c r="S57" s="12"/>
      <c r="T57" s="12"/>
      <c r="U57" s="12"/>
      <c r="V57" s="18"/>
      <c r="W57" s="10">
        <f t="shared" si="8"/>
        <v>0</v>
      </c>
      <c r="X57" s="11"/>
      <c r="Y57" s="11">
        <f t="shared" si="9"/>
        <v>0</v>
      </c>
      <c r="Z57" s="10">
        <f>IF(Inställningar!$B$5="",0,Inställningar!$B$5)</f>
        <v>850</v>
      </c>
      <c r="AA57" s="10">
        <f t="shared" si="10"/>
        <v>0</v>
      </c>
      <c r="AB57" s="4"/>
      <c r="AC57" s="13">
        <f>IF(Inställningar!$B$6="",0,Inställningar!$B$6)</f>
        <v>0.15</v>
      </c>
      <c r="AD57" s="10">
        <f t="shared" si="11"/>
        <v>0</v>
      </c>
      <c r="AE57" s="12"/>
    </row>
    <row r="58" spans="1:3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12"/>
      <c r="R58" s="12"/>
      <c r="S58" s="12"/>
      <c r="T58" s="12"/>
      <c r="U58" s="12"/>
      <c r="V58" s="18"/>
      <c r="W58" s="10">
        <f t="shared" si="8"/>
        <v>0</v>
      </c>
      <c r="X58" s="11"/>
      <c r="Y58" s="11">
        <f t="shared" si="9"/>
        <v>0</v>
      </c>
      <c r="Z58" s="10">
        <f>IF(Inställningar!$B$5="",0,Inställningar!$B$5)</f>
        <v>850</v>
      </c>
      <c r="AA58" s="10">
        <f t="shared" si="10"/>
        <v>0</v>
      </c>
      <c r="AB58" s="4"/>
      <c r="AC58" s="13">
        <f>IF(Inställningar!$B$6="",0,Inställningar!$B$6)</f>
        <v>0.15</v>
      </c>
      <c r="AD58" s="10">
        <f t="shared" si="11"/>
        <v>0</v>
      </c>
      <c r="AE58" s="12"/>
    </row>
    <row r="59" spans="1:3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12"/>
      <c r="R59" s="12"/>
      <c r="S59" s="12"/>
      <c r="T59" s="12"/>
      <c r="U59" s="12"/>
      <c r="V59" s="18"/>
      <c r="W59" s="10">
        <f t="shared" si="8"/>
        <v>0</v>
      </c>
      <c r="X59" s="11"/>
      <c r="Y59" s="11">
        <f t="shared" si="9"/>
        <v>0</v>
      </c>
      <c r="Z59" s="10">
        <f>IF(Inställningar!$B$5="",0,Inställningar!$B$5)</f>
        <v>850</v>
      </c>
      <c r="AA59" s="10">
        <f t="shared" si="10"/>
        <v>0</v>
      </c>
      <c r="AB59" s="4"/>
      <c r="AC59" s="13">
        <f>IF(Inställningar!$B$6="",0,Inställningar!$B$6)</f>
        <v>0.15</v>
      </c>
      <c r="AD59" s="10">
        <f t="shared" si="11"/>
        <v>0</v>
      </c>
      <c r="AE59" s="12"/>
    </row>
    <row r="60" spans="1:3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12"/>
      <c r="R60" s="12"/>
      <c r="S60" s="12"/>
      <c r="T60" s="12"/>
      <c r="U60" s="12"/>
      <c r="V60" s="18"/>
      <c r="W60" s="10">
        <f t="shared" si="8"/>
        <v>0</v>
      </c>
      <c r="X60" s="11"/>
      <c r="Y60" s="11">
        <f t="shared" si="9"/>
        <v>0</v>
      </c>
      <c r="Z60" s="10">
        <f>IF(Inställningar!$B$5="",0,Inställningar!$B$5)</f>
        <v>850</v>
      </c>
      <c r="AA60" s="10">
        <f t="shared" si="10"/>
        <v>0</v>
      </c>
      <c r="AB60" s="4"/>
      <c r="AC60" s="13">
        <f>IF(Inställningar!$B$6="",0,Inställningar!$B$6)</f>
        <v>0.15</v>
      </c>
      <c r="AD60" s="10">
        <f t="shared" si="11"/>
        <v>0</v>
      </c>
      <c r="AE60" s="12"/>
    </row>
    <row r="61" spans="1:3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12"/>
      <c r="R61" s="12"/>
      <c r="S61" s="12"/>
      <c r="T61" s="12"/>
      <c r="U61" s="12"/>
      <c r="V61" s="18"/>
      <c r="W61" s="10">
        <f t="shared" si="8"/>
        <v>0</v>
      </c>
      <c r="X61" s="11"/>
      <c r="Y61" s="11">
        <f t="shared" si="9"/>
        <v>0</v>
      </c>
      <c r="Z61" s="10">
        <f>IF(Inställningar!$B$5="",0,Inställningar!$B$5)</f>
        <v>850</v>
      </c>
      <c r="AA61" s="10">
        <f t="shared" si="10"/>
        <v>0</v>
      </c>
      <c r="AB61" s="4"/>
      <c r="AC61" s="13">
        <f>IF(Inställningar!$B$6="",0,Inställningar!$B$6)</f>
        <v>0.15</v>
      </c>
      <c r="AD61" s="10">
        <f t="shared" si="11"/>
        <v>0</v>
      </c>
      <c r="AE61" s="12"/>
    </row>
    <row r="62" spans="1:3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12"/>
      <c r="R62" s="12"/>
      <c r="S62" s="12"/>
      <c r="T62" s="12"/>
      <c r="U62" s="12"/>
      <c r="V62" s="18"/>
      <c r="W62" s="10">
        <f t="shared" si="8"/>
        <v>0</v>
      </c>
      <c r="X62" s="11"/>
      <c r="Y62" s="11">
        <f t="shared" si="9"/>
        <v>0</v>
      </c>
      <c r="Z62" s="10">
        <f>IF(Inställningar!$B$5="",0,Inställningar!$B$5)</f>
        <v>850</v>
      </c>
      <c r="AA62" s="10">
        <f t="shared" si="10"/>
        <v>0</v>
      </c>
      <c r="AB62" s="4"/>
      <c r="AC62" s="13">
        <f>IF(Inställningar!$B$6="",0,Inställningar!$B$6)</f>
        <v>0.15</v>
      </c>
      <c r="AD62" s="10">
        <f t="shared" si="11"/>
        <v>0</v>
      </c>
      <c r="AE62" s="12"/>
    </row>
    <row r="63" spans="1:3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12"/>
      <c r="R63" s="12"/>
      <c r="S63" s="12"/>
      <c r="T63" s="12"/>
      <c r="U63" s="12"/>
      <c r="V63" s="18"/>
      <c r="W63" s="10">
        <f t="shared" si="8"/>
        <v>0</v>
      </c>
      <c r="X63" s="11"/>
      <c r="Y63" s="11">
        <f t="shared" si="9"/>
        <v>0</v>
      </c>
      <c r="Z63" s="10">
        <f>IF(Inställningar!$B$5="",0,Inställningar!$B$5)</f>
        <v>850</v>
      </c>
      <c r="AA63" s="10">
        <f t="shared" si="10"/>
        <v>0</v>
      </c>
      <c r="AB63" s="4"/>
      <c r="AC63" s="13">
        <f>IF(Inställningar!$B$6="",0,Inställningar!$B$6)</f>
        <v>0.15</v>
      </c>
      <c r="AD63" s="10">
        <f t="shared" si="11"/>
        <v>0</v>
      </c>
      <c r="AE63" s="12"/>
    </row>
    <row r="64" spans="1:3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12"/>
      <c r="R64" s="12"/>
      <c r="S64" s="12"/>
      <c r="T64" s="12"/>
      <c r="U64" s="12"/>
      <c r="V64" s="18"/>
      <c r="W64" s="10">
        <f t="shared" si="8"/>
        <v>0</v>
      </c>
      <c r="X64" s="11"/>
      <c r="Y64" s="11">
        <f t="shared" si="9"/>
        <v>0</v>
      </c>
      <c r="Z64" s="10">
        <f>IF(Inställningar!$B$5="",0,Inställningar!$B$5)</f>
        <v>850</v>
      </c>
      <c r="AA64" s="10">
        <f t="shared" si="10"/>
        <v>0</v>
      </c>
      <c r="AB64" s="4"/>
      <c r="AC64" s="13">
        <f>IF(Inställningar!$B$6="",0,Inställningar!$B$6)</f>
        <v>0.15</v>
      </c>
      <c r="AD64" s="10">
        <f t="shared" si="11"/>
        <v>0</v>
      </c>
      <c r="AE64" s="12"/>
    </row>
    <row r="65" spans="1:3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12"/>
      <c r="R65" s="12"/>
      <c r="S65" s="12"/>
      <c r="T65" s="12"/>
      <c r="U65" s="12"/>
      <c r="V65" s="18"/>
      <c r="W65" s="10">
        <f t="shared" si="8"/>
        <v>0</v>
      </c>
      <c r="X65" s="11"/>
      <c r="Y65" s="11">
        <f t="shared" si="9"/>
        <v>0</v>
      </c>
      <c r="Z65" s="10">
        <f>IF(Inställningar!$B$5="",0,Inställningar!$B$5)</f>
        <v>850</v>
      </c>
      <c r="AA65" s="10">
        <f t="shared" si="10"/>
        <v>0</v>
      </c>
      <c r="AB65" s="4"/>
      <c r="AC65" s="13">
        <f>IF(Inställningar!$B$6="",0,Inställningar!$B$6)</f>
        <v>0.15</v>
      </c>
      <c r="AD65" s="10">
        <f t="shared" si="11"/>
        <v>0</v>
      </c>
      <c r="AE65" s="12"/>
    </row>
    <row r="66" spans="1:3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12"/>
      <c r="R66" s="12"/>
      <c r="S66" s="12"/>
      <c r="T66" s="12"/>
      <c r="U66" s="12"/>
      <c r="V66" s="18"/>
      <c r="W66" s="10">
        <f t="shared" si="8"/>
        <v>0</v>
      </c>
      <c r="X66" s="11"/>
      <c r="Y66" s="11">
        <f t="shared" si="9"/>
        <v>0</v>
      </c>
      <c r="Z66" s="10">
        <f>IF(Inställningar!$B$5="",0,Inställningar!$B$5)</f>
        <v>850</v>
      </c>
      <c r="AA66" s="10">
        <f t="shared" si="10"/>
        <v>0</v>
      </c>
      <c r="AB66" s="4"/>
      <c r="AC66" s="13">
        <f>IF(Inställningar!$B$6="",0,Inställningar!$B$6)</f>
        <v>0.15</v>
      </c>
      <c r="AD66" s="10">
        <f t="shared" si="11"/>
        <v>0</v>
      </c>
      <c r="AE66" s="12"/>
    </row>
    <row r="67" spans="1:3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12"/>
      <c r="R67" s="12"/>
      <c r="S67" s="12"/>
      <c r="T67" s="12"/>
      <c r="U67" s="12"/>
      <c r="V67" s="18"/>
      <c r="W67" s="10">
        <f t="shared" si="8"/>
        <v>0</v>
      </c>
      <c r="X67" s="11"/>
      <c r="Y67" s="11">
        <f t="shared" si="9"/>
        <v>0</v>
      </c>
      <c r="Z67" s="10">
        <f>IF(Inställningar!$B$5="",0,Inställningar!$B$5)</f>
        <v>850</v>
      </c>
      <c r="AA67" s="10">
        <f t="shared" si="10"/>
        <v>0</v>
      </c>
      <c r="AB67" s="4"/>
      <c r="AC67" s="13">
        <f>IF(Inställningar!$B$6="",0,Inställningar!$B$6)</f>
        <v>0.15</v>
      </c>
      <c r="AD67" s="10">
        <f t="shared" si="11"/>
        <v>0</v>
      </c>
      <c r="AE67" s="12"/>
    </row>
    <row r="68" spans="1:3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12"/>
      <c r="R68" s="12"/>
      <c r="S68" s="12"/>
      <c r="T68" s="12"/>
      <c r="U68" s="12"/>
      <c r="V68" s="18"/>
      <c r="W68" s="10">
        <f t="shared" si="8"/>
        <v>0</v>
      </c>
      <c r="X68" s="11"/>
      <c r="Y68" s="11">
        <f t="shared" si="9"/>
        <v>0</v>
      </c>
      <c r="Z68" s="10">
        <f>IF(Inställningar!$B$5="",0,Inställningar!$B$5)</f>
        <v>850</v>
      </c>
      <c r="AA68" s="10">
        <f t="shared" si="10"/>
        <v>0</v>
      </c>
      <c r="AB68" s="4"/>
      <c r="AC68" s="13">
        <f>IF(Inställningar!$B$6="",0,Inställningar!$B$6)</f>
        <v>0.15</v>
      </c>
      <c r="AD68" s="10">
        <f t="shared" si="11"/>
        <v>0</v>
      </c>
      <c r="AE68" s="12"/>
    </row>
    <row r="69" spans="1:3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12"/>
      <c r="R69" s="12"/>
      <c r="S69" s="12"/>
      <c r="T69" s="12"/>
      <c r="U69" s="12"/>
      <c r="V69" s="18"/>
      <c r="W69" s="10">
        <f t="shared" si="8"/>
        <v>0</v>
      </c>
      <c r="X69" s="11"/>
      <c r="Y69" s="11">
        <f t="shared" si="9"/>
        <v>0</v>
      </c>
      <c r="Z69" s="10">
        <f>IF(Inställningar!$B$5="",0,Inställningar!$B$5)</f>
        <v>850</v>
      </c>
      <c r="AA69" s="10">
        <f t="shared" si="10"/>
        <v>0</v>
      </c>
      <c r="AB69" s="4"/>
      <c r="AC69" s="13">
        <f>IF(Inställningar!$B$6="",0,Inställningar!$B$6)</f>
        <v>0.15</v>
      </c>
      <c r="AD69" s="10">
        <f t="shared" si="11"/>
        <v>0</v>
      </c>
      <c r="AE69" s="12"/>
    </row>
    <row r="70" spans="1:3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2"/>
      <c r="R70" s="12"/>
      <c r="S70" s="12"/>
      <c r="T70" s="12"/>
      <c r="U70" s="12"/>
      <c r="V70" s="18"/>
      <c r="W70" s="10">
        <f t="shared" si="8"/>
        <v>0</v>
      </c>
      <c r="X70" s="11"/>
      <c r="Y70" s="11">
        <f t="shared" si="9"/>
        <v>0</v>
      </c>
      <c r="Z70" s="10">
        <f>IF(Inställningar!$B$5="",0,Inställningar!$B$5)</f>
        <v>850</v>
      </c>
      <c r="AA70" s="10">
        <f t="shared" si="10"/>
        <v>0</v>
      </c>
      <c r="AB70" s="4"/>
      <c r="AC70" s="13">
        <f>IF(Inställningar!$B$6="",0,Inställningar!$B$6)</f>
        <v>0.15</v>
      </c>
      <c r="AD70" s="10">
        <f t="shared" si="11"/>
        <v>0</v>
      </c>
      <c r="AE70" s="12"/>
    </row>
    <row r="71" spans="1:3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12"/>
      <c r="R71" s="12"/>
      <c r="S71" s="12"/>
      <c r="T71" s="12"/>
      <c r="U71" s="12"/>
      <c r="V71" s="18"/>
      <c r="W71" s="10">
        <f t="shared" ref="W71:W102" si="12">IF(OR(T71="",V71=""),0,T71*V71)</f>
        <v>0</v>
      </c>
      <c r="X71" s="11"/>
      <c r="Y71" s="11">
        <f t="shared" ref="Y71:Y102" si="13">IF(OR(T71="",X71=""),0,T71*X71)</f>
        <v>0</v>
      </c>
      <c r="Z71" s="10">
        <f>IF(Inställningar!$B$5="",0,Inställningar!$B$5)</f>
        <v>850</v>
      </c>
      <c r="AA71" s="10">
        <f t="shared" ref="AA71:AA102" si="14">Y71*Z71</f>
        <v>0</v>
      </c>
      <c r="AB71" s="4"/>
      <c r="AC71" s="13">
        <f>IF(Inställningar!$B$6="",0,Inställningar!$B$6)</f>
        <v>0.15</v>
      </c>
      <c r="AD71" s="10">
        <f t="shared" ref="AD71:AD102" si="15">ROUND((W71+AA71+IF(AB71="",0,AB71))*(1+AC71),0)</f>
        <v>0</v>
      </c>
      <c r="AE71" s="12"/>
    </row>
    <row r="72" spans="1:3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12"/>
      <c r="R72" s="12"/>
      <c r="S72" s="12"/>
      <c r="T72" s="12"/>
      <c r="U72" s="12"/>
      <c r="V72" s="18"/>
      <c r="W72" s="10">
        <f t="shared" si="12"/>
        <v>0</v>
      </c>
      <c r="X72" s="11"/>
      <c r="Y72" s="11">
        <f t="shared" si="13"/>
        <v>0</v>
      </c>
      <c r="Z72" s="10">
        <f>IF(Inställningar!$B$5="",0,Inställningar!$B$5)</f>
        <v>850</v>
      </c>
      <c r="AA72" s="10">
        <f t="shared" si="14"/>
        <v>0</v>
      </c>
      <c r="AB72" s="4"/>
      <c r="AC72" s="13">
        <f>IF(Inställningar!$B$6="",0,Inställningar!$B$6)</f>
        <v>0.15</v>
      </c>
      <c r="AD72" s="10">
        <f t="shared" si="15"/>
        <v>0</v>
      </c>
      <c r="AE72" s="12"/>
    </row>
    <row r="73" spans="1:3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12"/>
      <c r="R73" s="12"/>
      <c r="S73" s="12"/>
      <c r="T73" s="12"/>
      <c r="U73" s="12"/>
      <c r="V73" s="18"/>
      <c r="W73" s="10">
        <f t="shared" si="12"/>
        <v>0</v>
      </c>
      <c r="X73" s="11"/>
      <c r="Y73" s="11">
        <f t="shared" si="13"/>
        <v>0</v>
      </c>
      <c r="Z73" s="10">
        <f>IF(Inställningar!$B$5="",0,Inställningar!$B$5)</f>
        <v>850</v>
      </c>
      <c r="AA73" s="10">
        <f t="shared" si="14"/>
        <v>0</v>
      </c>
      <c r="AB73" s="4"/>
      <c r="AC73" s="13">
        <f>IF(Inställningar!$B$6="",0,Inställningar!$B$6)</f>
        <v>0.15</v>
      </c>
      <c r="AD73" s="10">
        <f t="shared" si="15"/>
        <v>0</v>
      </c>
      <c r="AE73" s="12"/>
    </row>
    <row r="74" spans="1:3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12"/>
      <c r="R74" s="12"/>
      <c r="S74" s="12"/>
      <c r="T74" s="12"/>
      <c r="U74" s="12"/>
      <c r="V74" s="18"/>
      <c r="W74" s="10">
        <f t="shared" si="12"/>
        <v>0</v>
      </c>
      <c r="X74" s="11"/>
      <c r="Y74" s="11">
        <f t="shared" si="13"/>
        <v>0</v>
      </c>
      <c r="Z74" s="10">
        <f>IF(Inställningar!$B$5="",0,Inställningar!$B$5)</f>
        <v>850</v>
      </c>
      <c r="AA74" s="10">
        <f t="shared" si="14"/>
        <v>0</v>
      </c>
      <c r="AB74" s="4"/>
      <c r="AC74" s="13">
        <f>IF(Inställningar!$B$6="",0,Inställningar!$B$6)</f>
        <v>0.15</v>
      </c>
      <c r="AD74" s="10">
        <f t="shared" si="15"/>
        <v>0</v>
      </c>
      <c r="AE74" s="12"/>
    </row>
    <row r="75" spans="1:3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12"/>
      <c r="R75" s="12"/>
      <c r="S75" s="12"/>
      <c r="T75" s="12"/>
      <c r="U75" s="12"/>
      <c r="V75" s="18"/>
      <c r="W75" s="10">
        <f t="shared" si="12"/>
        <v>0</v>
      </c>
      <c r="X75" s="11"/>
      <c r="Y75" s="11">
        <f t="shared" si="13"/>
        <v>0</v>
      </c>
      <c r="Z75" s="10">
        <f>IF(Inställningar!$B$5="",0,Inställningar!$B$5)</f>
        <v>850</v>
      </c>
      <c r="AA75" s="10">
        <f t="shared" si="14"/>
        <v>0</v>
      </c>
      <c r="AB75" s="4"/>
      <c r="AC75" s="13">
        <f>IF(Inställningar!$B$6="",0,Inställningar!$B$6)</f>
        <v>0.15</v>
      </c>
      <c r="AD75" s="10">
        <f t="shared" si="15"/>
        <v>0</v>
      </c>
      <c r="AE75" s="12"/>
    </row>
    <row r="76" spans="1:3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12"/>
      <c r="R76" s="12"/>
      <c r="S76" s="12"/>
      <c r="T76" s="12"/>
      <c r="U76" s="12"/>
      <c r="V76" s="18"/>
      <c r="W76" s="10">
        <f t="shared" si="12"/>
        <v>0</v>
      </c>
      <c r="X76" s="11"/>
      <c r="Y76" s="11">
        <f t="shared" si="13"/>
        <v>0</v>
      </c>
      <c r="Z76" s="10">
        <f>IF(Inställningar!$B$5="",0,Inställningar!$B$5)</f>
        <v>850</v>
      </c>
      <c r="AA76" s="10">
        <f t="shared" si="14"/>
        <v>0</v>
      </c>
      <c r="AB76" s="4"/>
      <c r="AC76" s="13">
        <f>IF(Inställningar!$B$6="",0,Inställningar!$B$6)</f>
        <v>0.15</v>
      </c>
      <c r="AD76" s="10">
        <f t="shared" si="15"/>
        <v>0</v>
      </c>
      <c r="AE76" s="12"/>
    </row>
    <row r="77" spans="1:3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12"/>
      <c r="R77" s="12"/>
      <c r="S77" s="12"/>
      <c r="T77" s="12"/>
      <c r="U77" s="12"/>
      <c r="V77" s="18"/>
      <c r="W77" s="10">
        <f t="shared" si="12"/>
        <v>0</v>
      </c>
      <c r="X77" s="11"/>
      <c r="Y77" s="11">
        <f t="shared" si="13"/>
        <v>0</v>
      </c>
      <c r="Z77" s="10">
        <f>IF(Inställningar!$B$5="",0,Inställningar!$B$5)</f>
        <v>850</v>
      </c>
      <c r="AA77" s="10">
        <f t="shared" si="14"/>
        <v>0</v>
      </c>
      <c r="AB77" s="4"/>
      <c r="AC77" s="13">
        <f>IF(Inställningar!$B$6="",0,Inställningar!$B$6)</f>
        <v>0.15</v>
      </c>
      <c r="AD77" s="10">
        <f t="shared" si="15"/>
        <v>0</v>
      </c>
      <c r="AE77" s="12"/>
    </row>
    <row r="78" spans="1:3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12"/>
      <c r="R78" s="12"/>
      <c r="S78" s="12"/>
      <c r="T78" s="12"/>
      <c r="U78" s="12"/>
      <c r="V78" s="18"/>
      <c r="W78" s="10">
        <f t="shared" si="12"/>
        <v>0</v>
      </c>
      <c r="X78" s="11"/>
      <c r="Y78" s="11">
        <f t="shared" si="13"/>
        <v>0</v>
      </c>
      <c r="Z78" s="10">
        <f>IF(Inställningar!$B$5="",0,Inställningar!$B$5)</f>
        <v>850</v>
      </c>
      <c r="AA78" s="10">
        <f t="shared" si="14"/>
        <v>0</v>
      </c>
      <c r="AB78" s="4"/>
      <c r="AC78" s="13">
        <f>IF(Inställningar!$B$6="",0,Inställningar!$B$6)</f>
        <v>0.15</v>
      </c>
      <c r="AD78" s="10">
        <f t="shared" si="15"/>
        <v>0</v>
      </c>
      <c r="AE78" s="12"/>
    </row>
    <row r="79" spans="1:3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12"/>
      <c r="R79" s="12"/>
      <c r="S79" s="12"/>
      <c r="T79" s="12"/>
      <c r="U79" s="12"/>
      <c r="V79" s="18"/>
      <c r="W79" s="10">
        <f t="shared" si="12"/>
        <v>0</v>
      </c>
      <c r="X79" s="11"/>
      <c r="Y79" s="11">
        <f t="shared" si="13"/>
        <v>0</v>
      </c>
      <c r="Z79" s="10">
        <f>IF(Inställningar!$B$5="",0,Inställningar!$B$5)</f>
        <v>850</v>
      </c>
      <c r="AA79" s="10">
        <f t="shared" si="14"/>
        <v>0</v>
      </c>
      <c r="AB79" s="4"/>
      <c r="AC79" s="13">
        <f>IF(Inställningar!$B$6="",0,Inställningar!$B$6)</f>
        <v>0.15</v>
      </c>
      <c r="AD79" s="10">
        <f t="shared" si="15"/>
        <v>0</v>
      </c>
      <c r="AE79" s="12"/>
    </row>
    <row r="80" spans="1:3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12"/>
      <c r="R80" s="12"/>
      <c r="S80" s="12"/>
      <c r="T80" s="12"/>
      <c r="U80" s="12"/>
      <c r="V80" s="18"/>
      <c r="W80" s="10">
        <f t="shared" si="12"/>
        <v>0</v>
      </c>
      <c r="X80" s="11"/>
      <c r="Y80" s="11">
        <f t="shared" si="13"/>
        <v>0</v>
      </c>
      <c r="Z80" s="10">
        <f>IF(Inställningar!$B$5="",0,Inställningar!$B$5)</f>
        <v>850</v>
      </c>
      <c r="AA80" s="10">
        <f t="shared" si="14"/>
        <v>0</v>
      </c>
      <c r="AB80" s="4"/>
      <c r="AC80" s="13">
        <f>IF(Inställningar!$B$6="",0,Inställningar!$B$6)</f>
        <v>0.15</v>
      </c>
      <c r="AD80" s="10">
        <f t="shared" si="15"/>
        <v>0</v>
      </c>
      <c r="AE80" s="12"/>
    </row>
    <row r="81" spans="1:3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12"/>
      <c r="R81" s="12"/>
      <c r="S81" s="12"/>
      <c r="T81" s="12"/>
      <c r="U81" s="12"/>
      <c r="V81" s="18"/>
      <c r="W81" s="10">
        <f t="shared" si="12"/>
        <v>0</v>
      </c>
      <c r="X81" s="11"/>
      <c r="Y81" s="11">
        <f t="shared" si="13"/>
        <v>0</v>
      </c>
      <c r="Z81" s="10">
        <f>IF(Inställningar!$B$5="",0,Inställningar!$B$5)</f>
        <v>850</v>
      </c>
      <c r="AA81" s="10">
        <f t="shared" si="14"/>
        <v>0</v>
      </c>
      <c r="AB81" s="4"/>
      <c r="AC81" s="13">
        <f>IF(Inställningar!$B$6="",0,Inställningar!$B$6)</f>
        <v>0.15</v>
      </c>
      <c r="AD81" s="10">
        <f t="shared" si="15"/>
        <v>0</v>
      </c>
      <c r="AE81" s="12"/>
    </row>
    <row r="82" spans="1:3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12"/>
      <c r="R82" s="12"/>
      <c r="S82" s="12"/>
      <c r="T82" s="12"/>
      <c r="U82" s="12"/>
      <c r="V82" s="18"/>
      <c r="W82" s="10">
        <f t="shared" si="12"/>
        <v>0</v>
      </c>
      <c r="X82" s="11"/>
      <c r="Y82" s="11">
        <f t="shared" si="13"/>
        <v>0</v>
      </c>
      <c r="Z82" s="10">
        <f>IF(Inställningar!$B$5="",0,Inställningar!$B$5)</f>
        <v>850</v>
      </c>
      <c r="AA82" s="10">
        <f t="shared" si="14"/>
        <v>0</v>
      </c>
      <c r="AB82" s="4"/>
      <c r="AC82" s="13">
        <f>IF(Inställningar!$B$6="",0,Inställningar!$B$6)</f>
        <v>0.15</v>
      </c>
      <c r="AD82" s="10">
        <f t="shared" si="15"/>
        <v>0</v>
      </c>
      <c r="AE82" s="12"/>
    </row>
    <row r="83" spans="1:3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12"/>
      <c r="R83" s="12"/>
      <c r="S83" s="12"/>
      <c r="T83" s="12"/>
      <c r="U83" s="12"/>
      <c r="V83" s="18"/>
      <c r="W83" s="10">
        <f t="shared" si="12"/>
        <v>0</v>
      </c>
      <c r="X83" s="11"/>
      <c r="Y83" s="11">
        <f t="shared" si="13"/>
        <v>0</v>
      </c>
      <c r="Z83" s="10">
        <f>IF(Inställningar!$B$5="",0,Inställningar!$B$5)</f>
        <v>850</v>
      </c>
      <c r="AA83" s="10">
        <f t="shared" si="14"/>
        <v>0</v>
      </c>
      <c r="AB83" s="4"/>
      <c r="AC83" s="13">
        <f>IF(Inställningar!$B$6="",0,Inställningar!$B$6)</f>
        <v>0.15</v>
      </c>
      <c r="AD83" s="10">
        <f t="shared" si="15"/>
        <v>0</v>
      </c>
      <c r="AE83" s="12"/>
    </row>
    <row r="84" spans="1:3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12"/>
      <c r="R84" s="12"/>
      <c r="S84" s="12"/>
      <c r="T84" s="12"/>
      <c r="U84" s="12"/>
      <c r="V84" s="18"/>
      <c r="W84" s="10">
        <f t="shared" si="12"/>
        <v>0</v>
      </c>
      <c r="X84" s="11"/>
      <c r="Y84" s="11">
        <f t="shared" si="13"/>
        <v>0</v>
      </c>
      <c r="Z84" s="10">
        <f>IF(Inställningar!$B$5="",0,Inställningar!$B$5)</f>
        <v>850</v>
      </c>
      <c r="AA84" s="10">
        <f t="shared" si="14"/>
        <v>0</v>
      </c>
      <c r="AB84" s="4"/>
      <c r="AC84" s="13">
        <f>IF(Inställningar!$B$6="",0,Inställningar!$B$6)</f>
        <v>0.15</v>
      </c>
      <c r="AD84" s="10">
        <f t="shared" si="15"/>
        <v>0</v>
      </c>
      <c r="AE84" s="12"/>
    </row>
    <row r="85" spans="1:3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12"/>
      <c r="R85" s="12"/>
      <c r="S85" s="12"/>
      <c r="T85" s="12"/>
      <c r="U85" s="12"/>
      <c r="V85" s="18"/>
      <c r="W85" s="10">
        <f t="shared" si="12"/>
        <v>0</v>
      </c>
      <c r="X85" s="11"/>
      <c r="Y85" s="11">
        <f t="shared" si="13"/>
        <v>0</v>
      </c>
      <c r="Z85" s="10">
        <f>IF(Inställningar!$B$5="",0,Inställningar!$B$5)</f>
        <v>850</v>
      </c>
      <c r="AA85" s="10">
        <f t="shared" si="14"/>
        <v>0</v>
      </c>
      <c r="AB85" s="4"/>
      <c r="AC85" s="13">
        <f>IF(Inställningar!$B$6="",0,Inställningar!$B$6)</f>
        <v>0.15</v>
      </c>
      <c r="AD85" s="10">
        <f t="shared" si="15"/>
        <v>0</v>
      </c>
      <c r="AE85" s="12"/>
    </row>
    <row r="86" spans="1:3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12"/>
      <c r="R86" s="12"/>
      <c r="S86" s="12"/>
      <c r="T86" s="12"/>
      <c r="U86" s="12"/>
      <c r="V86" s="18"/>
      <c r="W86" s="10">
        <f t="shared" si="12"/>
        <v>0</v>
      </c>
      <c r="X86" s="11"/>
      <c r="Y86" s="11">
        <f t="shared" si="13"/>
        <v>0</v>
      </c>
      <c r="Z86" s="10">
        <f>IF(Inställningar!$B$5="",0,Inställningar!$B$5)</f>
        <v>850</v>
      </c>
      <c r="AA86" s="10">
        <f t="shared" si="14"/>
        <v>0</v>
      </c>
      <c r="AB86" s="4"/>
      <c r="AC86" s="13">
        <f>IF(Inställningar!$B$6="",0,Inställningar!$B$6)</f>
        <v>0.15</v>
      </c>
      <c r="AD86" s="10">
        <f t="shared" si="15"/>
        <v>0</v>
      </c>
      <c r="AE86" s="12"/>
    </row>
    <row r="87" spans="1:3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12"/>
      <c r="R87" s="12"/>
      <c r="S87" s="12"/>
      <c r="T87" s="12"/>
      <c r="U87" s="12"/>
      <c r="V87" s="18"/>
      <c r="W87" s="10">
        <f t="shared" si="12"/>
        <v>0</v>
      </c>
      <c r="X87" s="11"/>
      <c r="Y87" s="11">
        <f t="shared" si="13"/>
        <v>0</v>
      </c>
      <c r="Z87" s="10">
        <f>IF(Inställningar!$B$5="",0,Inställningar!$B$5)</f>
        <v>850</v>
      </c>
      <c r="AA87" s="10">
        <f t="shared" si="14"/>
        <v>0</v>
      </c>
      <c r="AB87" s="4"/>
      <c r="AC87" s="13">
        <f>IF(Inställningar!$B$6="",0,Inställningar!$B$6)</f>
        <v>0.15</v>
      </c>
      <c r="AD87" s="10">
        <f t="shared" si="15"/>
        <v>0</v>
      </c>
      <c r="AE87" s="12"/>
    </row>
    <row r="88" spans="1:3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2"/>
      <c r="R88" s="12"/>
      <c r="S88" s="12"/>
      <c r="T88" s="12"/>
      <c r="U88" s="12"/>
      <c r="V88" s="18"/>
      <c r="W88" s="10">
        <f t="shared" si="12"/>
        <v>0</v>
      </c>
      <c r="X88" s="11"/>
      <c r="Y88" s="11">
        <f t="shared" si="13"/>
        <v>0</v>
      </c>
      <c r="Z88" s="10">
        <f>IF(Inställningar!$B$5="",0,Inställningar!$B$5)</f>
        <v>850</v>
      </c>
      <c r="AA88" s="10">
        <f t="shared" si="14"/>
        <v>0</v>
      </c>
      <c r="AB88" s="4"/>
      <c r="AC88" s="13">
        <f>IF(Inställningar!$B$6="",0,Inställningar!$B$6)</f>
        <v>0.15</v>
      </c>
      <c r="AD88" s="10">
        <f t="shared" si="15"/>
        <v>0</v>
      </c>
      <c r="AE88" s="12"/>
    </row>
    <row r="89" spans="1:3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2"/>
      <c r="R89" s="12"/>
      <c r="S89" s="12"/>
      <c r="T89" s="12"/>
      <c r="U89" s="12"/>
      <c r="V89" s="18"/>
      <c r="W89" s="10">
        <f t="shared" si="12"/>
        <v>0</v>
      </c>
      <c r="X89" s="11"/>
      <c r="Y89" s="11">
        <f t="shared" si="13"/>
        <v>0</v>
      </c>
      <c r="Z89" s="10">
        <f>IF(Inställningar!$B$5="",0,Inställningar!$B$5)</f>
        <v>850</v>
      </c>
      <c r="AA89" s="10">
        <f t="shared" si="14"/>
        <v>0</v>
      </c>
      <c r="AB89" s="4"/>
      <c r="AC89" s="13">
        <f>IF(Inställningar!$B$6="",0,Inställningar!$B$6)</f>
        <v>0.15</v>
      </c>
      <c r="AD89" s="10">
        <f t="shared" si="15"/>
        <v>0</v>
      </c>
      <c r="AE89" s="12"/>
    </row>
    <row r="90" spans="1:3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12"/>
      <c r="R90" s="12"/>
      <c r="S90" s="12"/>
      <c r="T90" s="12"/>
      <c r="U90" s="12"/>
      <c r="V90" s="18"/>
      <c r="W90" s="10">
        <f t="shared" si="12"/>
        <v>0</v>
      </c>
      <c r="X90" s="11"/>
      <c r="Y90" s="11">
        <f t="shared" si="13"/>
        <v>0</v>
      </c>
      <c r="Z90" s="10">
        <f>IF(Inställningar!$B$5="",0,Inställningar!$B$5)</f>
        <v>850</v>
      </c>
      <c r="AA90" s="10">
        <f t="shared" si="14"/>
        <v>0</v>
      </c>
      <c r="AB90" s="4"/>
      <c r="AC90" s="13">
        <f>IF(Inställningar!$B$6="",0,Inställningar!$B$6)</f>
        <v>0.15</v>
      </c>
      <c r="AD90" s="10">
        <f t="shared" si="15"/>
        <v>0</v>
      </c>
      <c r="AE90" s="12"/>
    </row>
    <row r="91" spans="1:3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12"/>
      <c r="R91" s="12"/>
      <c r="S91" s="12"/>
      <c r="T91" s="12"/>
      <c r="U91" s="12"/>
      <c r="V91" s="18"/>
      <c r="W91" s="10">
        <f t="shared" si="12"/>
        <v>0</v>
      </c>
      <c r="X91" s="11"/>
      <c r="Y91" s="11">
        <f t="shared" si="13"/>
        <v>0</v>
      </c>
      <c r="Z91" s="10">
        <f>IF(Inställningar!$B$5="",0,Inställningar!$B$5)</f>
        <v>850</v>
      </c>
      <c r="AA91" s="10">
        <f t="shared" si="14"/>
        <v>0</v>
      </c>
      <c r="AB91" s="4"/>
      <c r="AC91" s="13">
        <f>IF(Inställningar!$B$6="",0,Inställningar!$B$6)</f>
        <v>0.15</v>
      </c>
      <c r="AD91" s="10">
        <f t="shared" si="15"/>
        <v>0</v>
      </c>
      <c r="AE91" s="12"/>
    </row>
    <row r="92" spans="1:3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12"/>
      <c r="R92" s="12"/>
      <c r="S92" s="12"/>
      <c r="T92" s="12"/>
      <c r="U92" s="12"/>
      <c r="V92" s="18"/>
      <c r="W92" s="10">
        <f t="shared" si="12"/>
        <v>0</v>
      </c>
      <c r="X92" s="11"/>
      <c r="Y92" s="11">
        <f t="shared" si="13"/>
        <v>0</v>
      </c>
      <c r="Z92" s="10">
        <f>IF(Inställningar!$B$5="",0,Inställningar!$B$5)</f>
        <v>850</v>
      </c>
      <c r="AA92" s="10">
        <f t="shared" si="14"/>
        <v>0</v>
      </c>
      <c r="AB92" s="4"/>
      <c r="AC92" s="13">
        <f>IF(Inställningar!$B$6="",0,Inställningar!$B$6)</f>
        <v>0.15</v>
      </c>
      <c r="AD92" s="10">
        <f t="shared" si="15"/>
        <v>0</v>
      </c>
      <c r="AE92" s="12"/>
    </row>
    <row r="93" spans="1:3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12"/>
      <c r="R93" s="12"/>
      <c r="S93" s="12"/>
      <c r="T93" s="12"/>
      <c r="U93" s="12"/>
      <c r="V93" s="18"/>
      <c r="W93" s="10">
        <f t="shared" si="12"/>
        <v>0</v>
      </c>
      <c r="X93" s="11"/>
      <c r="Y93" s="11">
        <f t="shared" si="13"/>
        <v>0</v>
      </c>
      <c r="Z93" s="10">
        <f>IF(Inställningar!$B$5="",0,Inställningar!$B$5)</f>
        <v>850</v>
      </c>
      <c r="AA93" s="10">
        <f t="shared" si="14"/>
        <v>0</v>
      </c>
      <c r="AB93" s="4"/>
      <c r="AC93" s="13">
        <f>IF(Inställningar!$B$6="",0,Inställningar!$B$6)</f>
        <v>0.15</v>
      </c>
      <c r="AD93" s="10">
        <f t="shared" si="15"/>
        <v>0</v>
      </c>
      <c r="AE93" s="12"/>
    </row>
    <row r="94" spans="1:3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12"/>
      <c r="R94" s="12"/>
      <c r="S94" s="12"/>
      <c r="T94" s="12"/>
      <c r="U94" s="12"/>
      <c r="V94" s="18"/>
      <c r="W94" s="10">
        <f t="shared" si="12"/>
        <v>0</v>
      </c>
      <c r="X94" s="11"/>
      <c r="Y94" s="11">
        <f t="shared" si="13"/>
        <v>0</v>
      </c>
      <c r="Z94" s="10">
        <f>IF(Inställningar!$B$5="",0,Inställningar!$B$5)</f>
        <v>850</v>
      </c>
      <c r="AA94" s="10">
        <f t="shared" si="14"/>
        <v>0</v>
      </c>
      <c r="AB94" s="4"/>
      <c r="AC94" s="13">
        <f>IF(Inställningar!$B$6="",0,Inställningar!$B$6)</f>
        <v>0.15</v>
      </c>
      <c r="AD94" s="10">
        <f t="shared" si="15"/>
        <v>0</v>
      </c>
      <c r="AE94" s="12"/>
    </row>
    <row r="95" spans="1:3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12"/>
      <c r="R95" s="12"/>
      <c r="S95" s="12"/>
      <c r="T95" s="12"/>
      <c r="U95" s="12"/>
      <c r="V95" s="18"/>
      <c r="W95" s="10">
        <f t="shared" si="12"/>
        <v>0</v>
      </c>
      <c r="X95" s="11"/>
      <c r="Y95" s="11">
        <f t="shared" si="13"/>
        <v>0</v>
      </c>
      <c r="Z95" s="10">
        <f>IF(Inställningar!$B$5="",0,Inställningar!$B$5)</f>
        <v>850</v>
      </c>
      <c r="AA95" s="10">
        <f t="shared" si="14"/>
        <v>0</v>
      </c>
      <c r="AB95" s="4"/>
      <c r="AC95" s="13">
        <f>IF(Inställningar!$B$6="",0,Inställningar!$B$6)</f>
        <v>0.15</v>
      </c>
      <c r="AD95" s="10">
        <f t="shared" si="15"/>
        <v>0</v>
      </c>
      <c r="AE95" s="12"/>
    </row>
    <row r="96" spans="1:3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12"/>
      <c r="R96" s="12"/>
      <c r="S96" s="12"/>
      <c r="T96" s="12"/>
      <c r="U96" s="12"/>
      <c r="V96" s="18"/>
      <c r="W96" s="10">
        <f t="shared" si="12"/>
        <v>0</v>
      </c>
      <c r="X96" s="11"/>
      <c r="Y96" s="11">
        <f t="shared" si="13"/>
        <v>0</v>
      </c>
      <c r="Z96" s="10">
        <f>IF(Inställningar!$B$5="",0,Inställningar!$B$5)</f>
        <v>850</v>
      </c>
      <c r="AA96" s="10">
        <f t="shared" si="14"/>
        <v>0</v>
      </c>
      <c r="AB96" s="4"/>
      <c r="AC96" s="13">
        <f>IF(Inställningar!$B$6="",0,Inställningar!$B$6)</f>
        <v>0.15</v>
      </c>
      <c r="AD96" s="10">
        <f t="shared" si="15"/>
        <v>0</v>
      </c>
      <c r="AE96" s="12"/>
    </row>
    <row r="97" spans="1:3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2"/>
      <c r="R97" s="12"/>
      <c r="S97" s="12"/>
      <c r="T97" s="12"/>
      <c r="U97" s="12"/>
      <c r="V97" s="18"/>
      <c r="W97" s="10">
        <f t="shared" si="12"/>
        <v>0</v>
      </c>
      <c r="X97" s="11"/>
      <c r="Y97" s="11">
        <f t="shared" si="13"/>
        <v>0</v>
      </c>
      <c r="Z97" s="10">
        <f>IF(Inställningar!$B$5="",0,Inställningar!$B$5)</f>
        <v>850</v>
      </c>
      <c r="AA97" s="10">
        <f t="shared" si="14"/>
        <v>0</v>
      </c>
      <c r="AB97" s="4"/>
      <c r="AC97" s="13">
        <f>IF(Inställningar!$B$6="",0,Inställningar!$B$6)</f>
        <v>0.15</v>
      </c>
      <c r="AD97" s="10">
        <f t="shared" si="15"/>
        <v>0</v>
      </c>
      <c r="AE97" s="12"/>
    </row>
    <row r="98" spans="1:3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12"/>
      <c r="R98" s="12"/>
      <c r="S98" s="12"/>
      <c r="T98" s="12"/>
      <c r="U98" s="12"/>
      <c r="V98" s="18"/>
      <c r="W98" s="10">
        <f t="shared" si="12"/>
        <v>0</v>
      </c>
      <c r="X98" s="11"/>
      <c r="Y98" s="11">
        <f t="shared" si="13"/>
        <v>0</v>
      </c>
      <c r="Z98" s="10">
        <f>IF(Inställningar!$B$5="",0,Inställningar!$B$5)</f>
        <v>850</v>
      </c>
      <c r="AA98" s="10">
        <f t="shared" si="14"/>
        <v>0</v>
      </c>
      <c r="AB98" s="4"/>
      <c r="AC98" s="13">
        <f>IF(Inställningar!$B$6="",0,Inställningar!$B$6)</f>
        <v>0.15</v>
      </c>
      <c r="AD98" s="10">
        <f t="shared" si="15"/>
        <v>0</v>
      </c>
      <c r="AE98" s="12"/>
    </row>
    <row r="99" spans="1:3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2"/>
      <c r="R99" s="12"/>
      <c r="S99" s="12"/>
      <c r="T99" s="12"/>
      <c r="U99" s="12"/>
      <c r="V99" s="18"/>
      <c r="W99" s="10">
        <f t="shared" si="12"/>
        <v>0</v>
      </c>
      <c r="X99" s="11"/>
      <c r="Y99" s="11">
        <f t="shared" si="13"/>
        <v>0</v>
      </c>
      <c r="Z99" s="10">
        <f>IF(Inställningar!$B$5="",0,Inställningar!$B$5)</f>
        <v>850</v>
      </c>
      <c r="AA99" s="10">
        <f t="shared" si="14"/>
        <v>0</v>
      </c>
      <c r="AB99" s="4"/>
      <c r="AC99" s="13">
        <f>IF(Inställningar!$B$6="",0,Inställningar!$B$6)</f>
        <v>0.15</v>
      </c>
      <c r="AD99" s="10">
        <f t="shared" si="15"/>
        <v>0</v>
      </c>
      <c r="AE99" s="12"/>
    </row>
    <row r="100" spans="1:3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2"/>
      <c r="R100" s="12"/>
      <c r="S100" s="12"/>
      <c r="T100" s="12"/>
      <c r="U100" s="12"/>
      <c r="V100" s="18"/>
      <c r="W100" s="10">
        <f t="shared" si="12"/>
        <v>0</v>
      </c>
      <c r="X100" s="11"/>
      <c r="Y100" s="11">
        <f t="shared" si="13"/>
        <v>0</v>
      </c>
      <c r="Z100" s="10">
        <f>IF(Inställningar!$B$5="",0,Inställningar!$B$5)</f>
        <v>850</v>
      </c>
      <c r="AA100" s="10">
        <f t="shared" si="14"/>
        <v>0</v>
      </c>
      <c r="AB100" s="4"/>
      <c r="AC100" s="13">
        <f>IF(Inställningar!$B$6="",0,Inställningar!$B$6)</f>
        <v>0.15</v>
      </c>
      <c r="AD100" s="10">
        <f t="shared" si="15"/>
        <v>0</v>
      </c>
      <c r="AE100" s="12"/>
    </row>
    <row r="101" spans="1:3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2"/>
      <c r="R101" s="12"/>
      <c r="S101" s="12"/>
      <c r="T101" s="12"/>
      <c r="U101" s="12"/>
      <c r="V101" s="18"/>
      <c r="W101" s="10">
        <f t="shared" si="12"/>
        <v>0</v>
      </c>
      <c r="X101" s="11"/>
      <c r="Y101" s="11">
        <f t="shared" si="13"/>
        <v>0</v>
      </c>
      <c r="Z101" s="10">
        <f>IF(Inställningar!$B$5="",0,Inställningar!$B$5)</f>
        <v>850</v>
      </c>
      <c r="AA101" s="10">
        <f t="shared" si="14"/>
        <v>0</v>
      </c>
      <c r="AB101" s="4"/>
      <c r="AC101" s="13">
        <f>IF(Inställningar!$B$6="",0,Inställningar!$B$6)</f>
        <v>0.15</v>
      </c>
      <c r="AD101" s="10">
        <f t="shared" si="15"/>
        <v>0</v>
      </c>
      <c r="AE101" s="12"/>
    </row>
    <row r="102" spans="1:3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2"/>
      <c r="R102" s="12"/>
      <c r="S102" s="12"/>
      <c r="T102" s="12"/>
      <c r="U102" s="12"/>
      <c r="V102" s="18"/>
      <c r="W102" s="10">
        <f t="shared" si="12"/>
        <v>0</v>
      </c>
      <c r="X102" s="11"/>
      <c r="Y102" s="11">
        <f t="shared" si="13"/>
        <v>0</v>
      </c>
      <c r="Z102" s="10">
        <f>IF(Inställningar!$B$5="",0,Inställningar!$B$5)</f>
        <v>850</v>
      </c>
      <c r="AA102" s="10">
        <f t="shared" si="14"/>
        <v>0</v>
      </c>
      <c r="AB102" s="4"/>
      <c r="AC102" s="13">
        <f>IF(Inställningar!$B$6="",0,Inställningar!$B$6)</f>
        <v>0.15</v>
      </c>
      <c r="AD102" s="10">
        <f t="shared" si="15"/>
        <v>0</v>
      </c>
      <c r="AE102" s="12"/>
    </row>
    <row r="103" spans="1:3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2"/>
      <c r="R103" s="12"/>
      <c r="S103" s="12"/>
      <c r="T103" s="12"/>
      <c r="U103" s="12"/>
      <c r="V103" s="18"/>
      <c r="W103" s="10">
        <f t="shared" ref="W103:W134" si="16">IF(OR(T103="",V103=""),0,T103*V103)</f>
        <v>0</v>
      </c>
      <c r="X103" s="11"/>
      <c r="Y103" s="11">
        <f t="shared" ref="Y103:Y134" si="17">IF(OR(T103="",X103=""),0,T103*X103)</f>
        <v>0</v>
      </c>
      <c r="Z103" s="10">
        <f>IF(Inställningar!$B$5="",0,Inställningar!$B$5)</f>
        <v>850</v>
      </c>
      <c r="AA103" s="10">
        <f t="shared" ref="AA103:AA134" si="18">Y103*Z103</f>
        <v>0</v>
      </c>
      <c r="AB103" s="4"/>
      <c r="AC103" s="13">
        <f>IF(Inställningar!$B$6="",0,Inställningar!$B$6)</f>
        <v>0.15</v>
      </c>
      <c r="AD103" s="10">
        <f t="shared" ref="AD103:AD134" si="19">ROUND((W103+AA103+IF(AB103="",0,AB103))*(1+AC103),0)</f>
        <v>0</v>
      </c>
      <c r="AE103" s="12"/>
    </row>
    <row r="104" spans="1:3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2"/>
      <c r="R104" s="12"/>
      <c r="S104" s="12"/>
      <c r="T104" s="12"/>
      <c r="U104" s="12"/>
      <c r="V104" s="18"/>
      <c r="W104" s="10">
        <f t="shared" si="16"/>
        <v>0</v>
      </c>
      <c r="X104" s="11"/>
      <c r="Y104" s="11">
        <f t="shared" si="17"/>
        <v>0</v>
      </c>
      <c r="Z104" s="10">
        <f>IF(Inställningar!$B$5="",0,Inställningar!$B$5)</f>
        <v>850</v>
      </c>
      <c r="AA104" s="10">
        <f t="shared" si="18"/>
        <v>0</v>
      </c>
      <c r="AB104" s="4"/>
      <c r="AC104" s="13">
        <f>IF(Inställningar!$B$6="",0,Inställningar!$B$6)</f>
        <v>0.15</v>
      </c>
      <c r="AD104" s="10">
        <f t="shared" si="19"/>
        <v>0</v>
      </c>
      <c r="AE104" s="12"/>
    </row>
    <row r="105" spans="1:3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2"/>
      <c r="R105" s="12"/>
      <c r="S105" s="12"/>
      <c r="T105" s="12"/>
      <c r="U105" s="12"/>
      <c r="V105" s="18"/>
      <c r="W105" s="10">
        <f t="shared" si="16"/>
        <v>0</v>
      </c>
      <c r="X105" s="11"/>
      <c r="Y105" s="11">
        <f t="shared" si="17"/>
        <v>0</v>
      </c>
      <c r="Z105" s="10">
        <f>IF(Inställningar!$B$5="",0,Inställningar!$B$5)</f>
        <v>850</v>
      </c>
      <c r="AA105" s="10">
        <f t="shared" si="18"/>
        <v>0</v>
      </c>
      <c r="AB105" s="4"/>
      <c r="AC105" s="13">
        <f>IF(Inställningar!$B$6="",0,Inställningar!$B$6)</f>
        <v>0.15</v>
      </c>
      <c r="AD105" s="10">
        <f t="shared" si="19"/>
        <v>0</v>
      </c>
      <c r="AE105" s="12"/>
    </row>
    <row r="106" spans="1:3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2"/>
      <c r="R106" s="12"/>
      <c r="S106" s="12"/>
      <c r="T106" s="12"/>
      <c r="U106" s="12"/>
      <c r="V106" s="18"/>
      <c r="W106" s="10">
        <f t="shared" si="16"/>
        <v>0</v>
      </c>
      <c r="X106" s="11"/>
      <c r="Y106" s="11">
        <f t="shared" si="17"/>
        <v>0</v>
      </c>
      <c r="Z106" s="10">
        <f>IF(Inställningar!$B$5="",0,Inställningar!$B$5)</f>
        <v>850</v>
      </c>
      <c r="AA106" s="10">
        <f t="shared" si="18"/>
        <v>0</v>
      </c>
      <c r="AB106" s="4"/>
      <c r="AC106" s="13">
        <f>IF(Inställningar!$B$6="",0,Inställningar!$B$6)</f>
        <v>0.15</v>
      </c>
      <c r="AD106" s="10">
        <f t="shared" si="19"/>
        <v>0</v>
      </c>
      <c r="AE106" s="12"/>
    </row>
    <row r="107" spans="1:3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2"/>
      <c r="R107" s="12"/>
      <c r="S107" s="12"/>
      <c r="T107" s="12"/>
      <c r="U107" s="12"/>
      <c r="V107" s="18"/>
      <c r="W107" s="10">
        <f t="shared" si="16"/>
        <v>0</v>
      </c>
      <c r="X107" s="11"/>
      <c r="Y107" s="11">
        <f t="shared" si="17"/>
        <v>0</v>
      </c>
      <c r="Z107" s="10">
        <f>IF(Inställningar!$B$5="",0,Inställningar!$B$5)</f>
        <v>850</v>
      </c>
      <c r="AA107" s="10">
        <f t="shared" si="18"/>
        <v>0</v>
      </c>
      <c r="AB107" s="4"/>
      <c r="AC107" s="13">
        <f>IF(Inställningar!$B$6="",0,Inställningar!$B$6)</f>
        <v>0.15</v>
      </c>
      <c r="AD107" s="10">
        <f t="shared" si="19"/>
        <v>0</v>
      </c>
      <c r="AE107" s="12"/>
    </row>
    <row r="108" spans="1:3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2"/>
      <c r="R108" s="12"/>
      <c r="S108" s="12"/>
      <c r="T108" s="12"/>
      <c r="U108" s="12"/>
      <c r="V108" s="18"/>
      <c r="W108" s="10">
        <f t="shared" si="16"/>
        <v>0</v>
      </c>
      <c r="X108" s="11"/>
      <c r="Y108" s="11">
        <f t="shared" si="17"/>
        <v>0</v>
      </c>
      <c r="Z108" s="10">
        <f>IF(Inställningar!$B$5="",0,Inställningar!$B$5)</f>
        <v>850</v>
      </c>
      <c r="AA108" s="10">
        <f t="shared" si="18"/>
        <v>0</v>
      </c>
      <c r="AB108" s="4"/>
      <c r="AC108" s="13">
        <f>IF(Inställningar!$B$6="",0,Inställningar!$B$6)</f>
        <v>0.15</v>
      </c>
      <c r="AD108" s="10">
        <f t="shared" si="19"/>
        <v>0</v>
      </c>
      <c r="AE108" s="12"/>
    </row>
    <row r="109" spans="1:3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2"/>
      <c r="R109" s="12"/>
      <c r="S109" s="12"/>
      <c r="T109" s="12"/>
      <c r="U109" s="12"/>
      <c r="V109" s="18"/>
      <c r="W109" s="10">
        <f t="shared" si="16"/>
        <v>0</v>
      </c>
      <c r="X109" s="11"/>
      <c r="Y109" s="11">
        <f t="shared" si="17"/>
        <v>0</v>
      </c>
      <c r="Z109" s="10">
        <f>IF(Inställningar!$B$5="",0,Inställningar!$B$5)</f>
        <v>850</v>
      </c>
      <c r="AA109" s="10">
        <f t="shared" si="18"/>
        <v>0</v>
      </c>
      <c r="AB109" s="4"/>
      <c r="AC109" s="13">
        <f>IF(Inställningar!$B$6="",0,Inställningar!$B$6)</f>
        <v>0.15</v>
      </c>
      <c r="AD109" s="10">
        <f t="shared" si="19"/>
        <v>0</v>
      </c>
      <c r="AE109" s="12"/>
    </row>
    <row r="110" spans="1:3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2"/>
      <c r="R110" s="12"/>
      <c r="S110" s="12"/>
      <c r="T110" s="12"/>
      <c r="U110" s="12"/>
      <c r="V110" s="18"/>
      <c r="W110" s="10">
        <f t="shared" si="16"/>
        <v>0</v>
      </c>
      <c r="X110" s="11"/>
      <c r="Y110" s="11">
        <f t="shared" si="17"/>
        <v>0</v>
      </c>
      <c r="Z110" s="10">
        <f>IF(Inställningar!$B$5="",0,Inställningar!$B$5)</f>
        <v>850</v>
      </c>
      <c r="AA110" s="10">
        <f t="shared" si="18"/>
        <v>0</v>
      </c>
      <c r="AB110" s="4"/>
      <c r="AC110" s="13">
        <f>IF(Inställningar!$B$6="",0,Inställningar!$B$6)</f>
        <v>0.15</v>
      </c>
      <c r="AD110" s="10">
        <f t="shared" si="19"/>
        <v>0</v>
      </c>
      <c r="AE110" s="12"/>
    </row>
    <row r="111" spans="1:3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2"/>
      <c r="R111" s="12"/>
      <c r="S111" s="12"/>
      <c r="T111" s="12"/>
      <c r="U111" s="12"/>
      <c r="V111" s="18"/>
      <c r="W111" s="10">
        <f t="shared" si="16"/>
        <v>0</v>
      </c>
      <c r="X111" s="11"/>
      <c r="Y111" s="11">
        <f t="shared" si="17"/>
        <v>0</v>
      </c>
      <c r="Z111" s="10">
        <f>IF(Inställningar!$B$5="",0,Inställningar!$B$5)</f>
        <v>850</v>
      </c>
      <c r="AA111" s="10">
        <f t="shared" si="18"/>
        <v>0</v>
      </c>
      <c r="AB111" s="4"/>
      <c r="AC111" s="13">
        <f>IF(Inställningar!$B$6="",0,Inställningar!$B$6)</f>
        <v>0.15</v>
      </c>
      <c r="AD111" s="10">
        <f t="shared" si="19"/>
        <v>0</v>
      </c>
      <c r="AE111" s="12"/>
    </row>
    <row r="112" spans="1:3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2"/>
      <c r="R112" s="12"/>
      <c r="S112" s="12"/>
      <c r="T112" s="12"/>
      <c r="U112" s="12"/>
      <c r="V112" s="18"/>
      <c r="W112" s="10">
        <f t="shared" si="16"/>
        <v>0</v>
      </c>
      <c r="X112" s="11"/>
      <c r="Y112" s="11">
        <f t="shared" si="17"/>
        <v>0</v>
      </c>
      <c r="Z112" s="10">
        <f>IF(Inställningar!$B$5="",0,Inställningar!$B$5)</f>
        <v>850</v>
      </c>
      <c r="AA112" s="10">
        <f t="shared" si="18"/>
        <v>0</v>
      </c>
      <c r="AB112" s="4"/>
      <c r="AC112" s="13">
        <f>IF(Inställningar!$B$6="",0,Inställningar!$B$6)</f>
        <v>0.15</v>
      </c>
      <c r="AD112" s="10">
        <f t="shared" si="19"/>
        <v>0</v>
      </c>
      <c r="AE112" s="12"/>
    </row>
    <row r="113" spans="1:3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2"/>
      <c r="R113" s="12"/>
      <c r="S113" s="12"/>
      <c r="T113" s="12"/>
      <c r="U113" s="12"/>
      <c r="V113" s="18"/>
      <c r="W113" s="10">
        <f t="shared" si="16"/>
        <v>0</v>
      </c>
      <c r="X113" s="11"/>
      <c r="Y113" s="11">
        <f t="shared" si="17"/>
        <v>0</v>
      </c>
      <c r="Z113" s="10">
        <f>IF(Inställningar!$B$5="",0,Inställningar!$B$5)</f>
        <v>850</v>
      </c>
      <c r="AA113" s="10">
        <f t="shared" si="18"/>
        <v>0</v>
      </c>
      <c r="AB113" s="4"/>
      <c r="AC113" s="13">
        <f>IF(Inställningar!$B$6="",0,Inställningar!$B$6)</f>
        <v>0.15</v>
      </c>
      <c r="AD113" s="10">
        <f t="shared" si="19"/>
        <v>0</v>
      </c>
      <c r="AE113" s="12"/>
    </row>
    <row r="114" spans="1:3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2"/>
      <c r="R114" s="12"/>
      <c r="S114" s="12"/>
      <c r="T114" s="12"/>
      <c r="U114" s="12"/>
      <c r="V114" s="18"/>
      <c r="W114" s="10">
        <f t="shared" si="16"/>
        <v>0</v>
      </c>
      <c r="X114" s="11"/>
      <c r="Y114" s="11">
        <f t="shared" si="17"/>
        <v>0</v>
      </c>
      <c r="Z114" s="10">
        <f>IF(Inställningar!$B$5="",0,Inställningar!$B$5)</f>
        <v>850</v>
      </c>
      <c r="AA114" s="10">
        <f t="shared" si="18"/>
        <v>0</v>
      </c>
      <c r="AB114" s="4"/>
      <c r="AC114" s="13">
        <f>IF(Inställningar!$B$6="",0,Inställningar!$B$6)</f>
        <v>0.15</v>
      </c>
      <c r="AD114" s="10">
        <f t="shared" si="19"/>
        <v>0</v>
      </c>
      <c r="AE114" s="12"/>
    </row>
    <row r="115" spans="1:3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2"/>
      <c r="R115" s="12"/>
      <c r="S115" s="12"/>
      <c r="T115" s="12"/>
      <c r="U115" s="12"/>
      <c r="V115" s="18"/>
      <c r="W115" s="10">
        <f t="shared" si="16"/>
        <v>0</v>
      </c>
      <c r="X115" s="11"/>
      <c r="Y115" s="11">
        <f t="shared" si="17"/>
        <v>0</v>
      </c>
      <c r="Z115" s="10">
        <f>IF(Inställningar!$B$5="",0,Inställningar!$B$5)</f>
        <v>850</v>
      </c>
      <c r="AA115" s="10">
        <f t="shared" si="18"/>
        <v>0</v>
      </c>
      <c r="AB115" s="4"/>
      <c r="AC115" s="13">
        <f>IF(Inställningar!$B$6="",0,Inställningar!$B$6)</f>
        <v>0.15</v>
      </c>
      <c r="AD115" s="10">
        <f t="shared" si="19"/>
        <v>0</v>
      </c>
      <c r="AE115" s="12"/>
    </row>
    <row r="116" spans="1:3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2"/>
      <c r="R116" s="12"/>
      <c r="S116" s="12"/>
      <c r="T116" s="12"/>
      <c r="U116" s="12"/>
      <c r="V116" s="18"/>
      <c r="W116" s="10">
        <f t="shared" si="16"/>
        <v>0</v>
      </c>
      <c r="X116" s="11"/>
      <c r="Y116" s="11">
        <f t="shared" si="17"/>
        <v>0</v>
      </c>
      <c r="Z116" s="10">
        <f>IF(Inställningar!$B$5="",0,Inställningar!$B$5)</f>
        <v>850</v>
      </c>
      <c r="AA116" s="10">
        <f t="shared" si="18"/>
        <v>0</v>
      </c>
      <c r="AB116" s="4"/>
      <c r="AC116" s="13">
        <f>IF(Inställningar!$B$6="",0,Inställningar!$B$6)</f>
        <v>0.15</v>
      </c>
      <c r="AD116" s="10">
        <f t="shared" si="19"/>
        <v>0</v>
      </c>
      <c r="AE116" s="12"/>
    </row>
    <row r="117" spans="1:3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2"/>
      <c r="R117" s="12"/>
      <c r="S117" s="12"/>
      <c r="T117" s="12"/>
      <c r="U117" s="12"/>
      <c r="V117" s="18"/>
      <c r="W117" s="10">
        <f t="shared" si="16"/>
        <v>0</v>
      </c>
      <c r="X117" s="11"/>
      <c r="Y117" s="11">
        <f t="shared" si="17"/>
        <v>0</v>
      </c>
      <c r="Z117" s="10">
        <f>IF(Inställningar!$B$5="",0,Inställningar!$B$5)</f>
        <v>850</v>
      </c>
      <c r="AA117" s="10">
        <f t="shared" si="18"/>
        <v>0</v>
      </c>
      <c r="AB117" s="4"/>
      <c r="AC117" s="13">
        <f>IF(Inställningar!$B$6="",0,Inställningar!$B$6)</f>
        <v>0.15</v>
      </c>
      <c r="AD117" s="10">
        <f t="shared" si="19"/>
        <v>0</v>
      </c>
      <c r="AE117" s="12"/>
    </row>
    <row r="118" spans="1:3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2"/>
      <c r="R118" s="12"/>
      <c r="S118" s="12"/>
      <c r="T118" s="12"/>
      <c r="U118" s="12"/>
      <c r="V118" s="18"/>
      <c r="W118" s="10">
        <f t="shared" si="16"/>
        <v>0</v>
      </c>
      <c r="X118" s="11"/>
      <c r="Y118" s="11">
        <f t="shared" si="17"/>
        <v>0</v>
      </c>
      <c r="Z118" s="10">
        <f>IF(Inställningar!$B$5="",0,Inställningar!$B$5)</f>
        <v>850</v>
      </c>
      <c r="AA118" s="10">
        <f t="shared" si="18"/>
        <v>0</v>
      </c>
      <c r="AB118" s="4"/>
      <c r="AC118" s="13">
        <f>IF(Inställningar!$B$6="",0,Inställningar!$B$6)</f>
        <v>0.15</v>
      </c>
      <c r="AD118" s="10">
        <f t="shared" si="19"/>
        <v>0</v>
      </c>
      <c r="AE118" s="12"/>
    </row>
    <row r="119" spans="1:3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2"/>
      <c r="R119" s="12"/>
      <c r="S119" s="12"/>
      <c r="T119" s="12"/>
      <c r="U119" s="12"/>
      <c r="V119" s="18"/>
      <c r="W119" s="10">
        <f t="shared" si="16"/>
        <v>0</v>
      </c>
      <c r="X119" s="11"/>
      <c r="Y119" s="11">
        <f t="shared" si="17"/>
        <v>0</v>
      </c>
      <c r="Z119" s="10">
        <f>IF(Inställningar!$B$5="",0,Inställningar!$B$5)</f>
        <v>850</v>
      </c>
      <c r="AA119" s="10">
        <f t="shared" si="18"/>
        <v>0</v>
      </c>
      <c r="AB119" s="4"/>
      <c r="AC119" s="13">
        <f>IF(Inställningar!$B$6="",0,Inställningar!$B$6)</f>
        <v>0.15</v>
      </c>
      <c r="AD119" s="10">
        <f t="shared" si="19"/>
        <v>0</v>
      </c>
      <c r="AE119" s="12"/>
    </row>
    <row r="120" spans="1:3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2"/>
      <c r="R120" s="12"/>
      <c r="S120" s="12"/>
      <c r="T120" s="12"/>
      <c r="U120" s="12"/>
      <c r="V120" s="18"/>
      <c r="W120" s="10">
        <f t="shared" si="16"/>
        <v>0</v>
      </c>
      <c r="X120" s="11"/>
      <c r="Y120" s="11">
        <f t="shared" si="17"/>
        <v>0</v>
      </c>
      <c r="Z120" s="10">
        <f>IF(Inställningar!$B$5="",0,Inställningar!$B$5)</f>
        <v>850</v>
      </c>
      <c r="AA120" s="10">
        <f t="shared" si="18"/>
        <v>0</v>
      </c>
      <c r="AB120" s="4"/>
      <c r="AC120" s="13">
        <f>IF(Inställningar!$B$6="",0,Inställningar!$B$6)</f>
        <v>0.15</v>
      </c>
      <c r="AD120" s="10">
        <f t="shared" si="19"/>
        <v>0</v>
      </c>
      <c r="AE120" s="12"/>
    </row>
    <row r="121" spans="1:3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2"/>
      <c r="R121" s="12"/>
      <c r="S121" s="12"/>
      <c r="T121" s="12"/>
      <c r="U121" s="12"/>
      <c r="V121" s="18"/>
      <c r="W121" s="10">
        <f t="shared" si="16"/>
        <v>0</v>
      </c>
      <c r="X121" s="11"/>
      <c r="Y121" s="11">
        <f t="shared" si="17"/>
        <v>0</v>
      </c>
      <c r="Z121" s="10">
        <f>IF(Inställningar!$B$5="",0,Inställningar!$B$5)</f>
        <v>850</v>
      </c>
      <c r="AA121" s="10">
        <f t="shared" si="18"/>
        <v>0</v>
      </c>
      <c r="AB121" s="4"/>
      <c r="AC121" s="13">
        <f>IF(Inställningar!$B$6="",0,Inställningar!$B$6)</f>
        <v>0.15</v>
      </c>
      <c r="AD121" s="10">
        <f t="shared" si="19"/>
        <v>0</v>
      </c>
      <c r="AE121" s="12"/>
    </row>
    <row r="122" spans="1:3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2"/>
      <c r="R122" s="12"/>
      <c r="S122" s="12"/>
      <c r="T122" s="12"/>
      <c r="U122" s="12"/>
      <c r="V122" s="18"/>
      <c r="W122" s="10">
        <f t="shared" si="16"/>
        <v>0</v>
      </c>
      <c r="X122" s="11"/>
      <c r="Y122" s="11">
        <f t="shared" si="17"/>
        <v>0</v>
      </c>
      <c r="Z122" s="10">
        <f>IF(Inställningar!$B$5="",0,Inställningar!$B$5)</f>
        <v>850</v>
      </c>
      <c r="AA122" s="10">
        <f t="shared" si="18"/>
        <v>0</v>
      </c>
      <c r="AB122" s="4"/>
      <c r="AC122" s="13">
        <f>IF(Inställningar!$B$6="",0,Inställningar!$B$6)</f>
        <v>0.15</v>
      </c>
      <c r="AD122" s="10">
        <f t="shared" si="19"/>
        <v>0</v>
      </c>
      <c r="AE122" s="12"/>
    </row>
    <row r="123" spans="1:3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2"/>
      <c r="R123" s="12"/>
      <c r="S123" s="12"/>
      <c r="T123" s="12"/>
      <c r="U123" s="12"/>
      <c r="V123" s="18"/>
      <c r="W123" s="10">
        <f t="shared" si="16"/>
        <v>0</v>
      </c>
      <c r="X123" s="11"/>
      <c r="Y123" s="11">
        <f t="shared" si="17"/>
        <v>0</v>
      </c>
      <c r="Z123" s="10">
        <f>IF(Inställningar!$B$5="",0,Inställningar!$B$5)</f>
        <v>850</v>
      </c>
      <c r="AA123" s="10">
        <f t="shared" si="18"/>
        <v>0</v>
      </c>
      <c r="AB123" s="4"/>
      <c r="AC123" s="13">
        <f>IF(Inställningar!$B$6="",0,Inställningar!$B$6)</f>
        <v>0.15</v>
      </c>
      <c r="AD123" s="10">
        <f t="shared" si="19"/>
        <v>0</v>
      </c>
      <c r="AE123" s="12"/>
    </row>
    <row r="124" spans="1:3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2"/>
      <c r="R124" s="12"/>
      <c r="S124" s="12"/>
      <c r="T124" s="12"/>
      <c r="U124" s="12"/>
      <c r="V124" s="18"/>
      <c r="W124" s="10">
        <f t="shared" si="16"/>
        <v>0</v>
      </c>
      <c r="X124" s="11"/>
      <c r="Y124" s="11">
        <f t="shared" si="17"/>
        <v>0</v>
      </c>
      <c r="Z124" s="10">
        <f>IF(Inställningar!$B$5="",0,Inställningar!$B$5)</f>
        <v>850</v>
      </c>
      <c r="AA124" s="10">
        <f t="shared" si="18"/>
        <v>0</v>
      </c>
      <c r="AB124" s="4"/>
      <c r="AC124" s="13">
        <f>IF(Inställningar!$B$6="",0,Inställningar!$B$6)</f>
        <v>0.15</v>
      </c>
      <c r="AD124" s="10">
        <f t="shared" si="19"/>
        <v>0</v>
      </c>
      <c r="AE124" s="12"/>
    </row>
    <row r="125" spans="1:3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2"/>
      <c r="R125" s="12"/>
      <c r="S125" s="12"/>
      <c r="T125" s="12"/>
      <c r="U125" s="12"/>
      <c r="V125" s="18"/>
      <c r="W125" s="10">
        <f t="shared" si="16"/>
        <v>0</v>
      </c>
      <c r="X125" s="11"/>
      <c r="Y125" s="11">
        <f t="shared" si="17"/>
        <v>0</v>
      </c>
      <c r="Z125" s="10">
        <f>IF(Inställningar!$B$5="",0,Inställningar!$B$5)</f>
        <v>850</v>
      </c>
      <c r="AA125" s="10">
        <f t="shared" si="18"/>
        <v>0</v>
      </c>
      <c r="AB125" s="4"/>
      <c r="AC125" s="13">
        <f>IF(Inställningar!$B$6="",0,Inställningar!$B$6)</f>
        <v>0.15</v>
      </c>
      <c r="AD125" s="10">
        <f t="shared" si="19"/>
        <v>0</v>
      </c>
      <c r="AE125" s="12"/>
    </row>
    <row r="126" spans="1:3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2"/>
      <c r="R126" s="12"/>
      <c r="S126" s="12"/>
      <c r="T126" s="12"/>
      <c r="U126" s="12"/>
      <c r="V126" s="18"/>
      <c r="W126" s="10">
        <f t="shared" si="16"/>
        <v>0</v>
      </c>
      <c r="X126" s="11"/>
      <c r="Y126" s="11">
        <f t="shared" si="17"/>
        <v>0</v>
      </c>
      <c r="Z126" s="10">
        <f>IF(Inställningar!$B$5="",0,Inställningar!$B$5)</f>
        <v>850</v>
      </c>
      <c r="AA126" s="10">
        <f t="shared" si="18"/>
        <v>0</v>
      </c>
      <c r="AB126" s="4"/>
      <c r="AC126" s="13">
        <f>IF(Inställningar!$B$6="",0,Inställningar!$B$6)</f>
        <v>0.15</v>
      </c>
      <c r="AD126" s="10">
        <f t="shared" si="19"/>
        <v>0</v>
      </c>
      <c r="AE126" s="12"/>
    </row>
  </sheetData>
  <mergeCells count="2">
    <mergeCell ref="A1:O2"/>
    <mergeCell ref="A3:O4"/>
  </mergeCells>
  <conditionalFormatting sqref="J7:J51">
    <cfRule type="expression" dxfId="3" priority="1">
      <formula>J7="Ja"</formula>
    </cfRule>
  </conditionalFormatting>
  <dataValidations count="3">
    <dataValidation type="list" sqref="A7:A51 I7:J51" xr:uid="{00000000-0002-0000-0300-000000000000}">
      <formula1>"Ja,Nej"</formula1>
    </dataValidation>
    <dataValidation type="list" sqref="U7:U126" xr:uid="{00000000-0002-0000-0300-000003000000}">
      <formula1>"st,m,m²,paket,tim,övrigt"</formula1>
    </dataValidation>
    <dataValidation type="list" sqref="Q7:Q126" xr:uid="{00000000-0002-0000-0300-000004000000}">
      <formula1>$D$7:$D$51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26"/>
  <sheetViews>
    <sheetView workbookViewId="0"/>
  </sheetViews>
  <sheetFormatPr defaultRowHeight="14.25"/>
  <cols>
    <col min="1" max="1" width="11" customWidth="1"/>
    <col min="2" max="3" width="16" customWidth="1"/>
    <col min="4" max="4" width="24" customWidth="1"/>
    <col min="5" max="5" width="30" customWidth="1"/>
    <col min="6" max="6" width="13" customWidth="1"/>
    <col min="7" max="7" width="18" customWidth="1"/>
    <col min="8" max="8" width="16" customWidth="1"/>
    <col min="9" max="9" width="10" customWidth="1"/>
    <col min="10" max="10" width="20" customWidth="1"/>
    <col min="11" max="11" width="18" customWidth="1"/>
    <col min="12" max="12" width="15" customWidth="1"/>
    <col min="13" max="13" width="16" customWidth="1"/>
    <col min="14" max="14" width="15" customWidth="1"/>
    <col min="15" max="15" width="48" customWidth="1"/>
    <col min="17" max="17" width="24" customWidth="1"/>
    <col min="18" max="18" width="16" customWidth="1"/>
    <col min="19" max="19" width="32" customWidth="1"/>
    <col min="20" max="21" width="10" customWidth="1"/>
    <col min="22" max="23" width="16" customWidth="1"/>
    <col min="24" max="24" width="13" customWidth="1"/>
    <col min="25" max="25" width="12" customWidth="1"/>
    <col min="26" max="26" width="14" customWidth="1"/>
    <col min="27" max="27" width="16" customWidth="1"/>
    <col min="28" max="28" width="14" customWidth="1"/>
    <col min="29" max="29" width="12" customWidth="1"/>
    <col min="30" max="30" width="16" customWidth="1"/>
    <col min="31" max="31" width="40" customWidth="1"/>
  </cols>
  <sheetData>
    <row r="1" spans="1:31">
      <c r="A1" s="19" t="s">
        <v>334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21" t="s">
        <v>281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30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63</v>
      </c>
      <c r="L6" s="2" t="s">
        <v>64</v>
      </c>
      <c r="M6" s="2" t="s">
        <v>65</v>
      </c>
      <c r="N6" s="2" t="s">
        <v>66</v>
      </c>
      <c r="O6" s="2" t="s">
        <v>67</v>
      </c>
      <c r="P6" s="3"/>
      <c r="Q6" s="2" t="s">
        <v>56</v>
      </c>
      <c r="R6" s="2" t="s">
        <v>68</v>
      </c>
      <c r="S6" s="2" t="s">
        <v>69</v>
      </c>
      <c r="T6" s="2" t="s">
        <v>70</v>
      </c>
      <c r="U6" s="2" t="s">
        <v>30</v>
      </c>
      <c r="V6" s="2" t="s">
        <v>71</v>
      </c>
      <c r="W6" s="2" t="s">
        <v>72</v>
      </c>
      <c r="X6" s="2" t="s">
        <v>73</v>
      </c>
      <c r="Y6" s="2" t="s">
        <v>74</v>
      </c>
      <c r="Z6" s="2" t="s">
        <v>75</v>
      </c>
      <c r="AA6" s="2" t="s">
        <v>76</v>
      </c>
      <c r="AB6" s="2" t="s">
        <v>77</v>
      </c>
      <c r="AC6" s="2" t="s">
        <v>78</v>
      </c>
      <c r="AD6" s="2" t="s">
        <v>79</v>
      </c>
      <c r="AE6" s="2" t="s">
        <v>17</v>
      </c>
    </row>
    <row r="7" spans="1:31" ht="28.5">
      <c r="A7" s="7" t="s">
        <v>46</v>
      </c>
      <c r="B7" s="7" t="s">
        <v>335</v>
      </c>
      <c r="C7" s="7" t="s">
        <v>195</v>
      </c>
      <c r="D7" s="7" t="s">
        <v>336</v>
      </c>
      <c r="E7" s="7" t="s">
        <v>337</v>
      </c>
      <c r="F7" s="7" t="s">
        <v>84</v>
      </c>
      <c r="G7" s="8">
        <v>0</v>
      </c>
      <c r="H7" s="9">
        <v>0</v>
      </c>
      <c r="I7" s="7" t="s">
        <v>85</v>
      </c>
      <c r="J7" s="7" t="s">
        <v>85</v>
      </c>
      <c r="K7" s="10">
        <f t="shared" ref="K7:K51" si="0">IF(D7="","",SUMIF($Q$7:$Q$126,D7,$AD$7:$AD$126))</f>
        <v>0</v>
      </c>
      <c r="L7" s="11">
        <f t="shared" ref="L7:L51" si="1">IF(D7="","",SUMIF($Q$7:$Q$126,D7,$Y$7:$Y$126))</f>
        <v>0</v>
      </c>
      <c r="M7" s="10">
        <f t="shared" ref="M7:M51" si="2">IF(D7="","",IF(J7="Ja",K7,G7))</f>
        <v>0</v>
      </c>
      <c r="N7" s="11">
        <f t="shared" ref="N7:N51" si="3">IF(D7="","",IF(J7="Ja",L7,H7))</f>
        <v>0</v>
      </c>
      <c r="O7" s="3" t="s">
        <v>338</v>
      </c>
      <c r="P7" s="3"/>
      <c r="Q7" s="12" t="s">
        <v>339</v>
      </c>
      <c r="R7" s="12" t="s">
        <v>179</v>
      </c>
      <c r="S7" s="12" t="s">
        <v>89</v>
      </c>
      <c r="T7" s="12">
        <v>1</v>
      </c>
      <c r="U7" s="12" t="s">
        <v>90</v>
      </c>
      <c r="V7" s="18">
        <v>11343.478261</v>
      </c>
      <c r="W7" s="10">
        <f t="shared" ref="W7:W38" si="4">IF(OR(T7="",V7=""),0,T7*V7)</f>
        <v>11343.478261</v>
      </c>
      <c r="X7" s="11">
        <v>2</v>
      </c>
      <c r="Y7" s="11">
        <f t="shared" ref="Y7:Y38" si="5">IF(OR(T7="",X7=""),0,T7*X7)</f>
        <v>2</v>
      </c>
      <c r="Z7" s="10">
        <f>IF(Inställningar!$B$5="",0,Inställningar!$B$5)</f>
        <v>850</v>
      </c>
      <c r="AA7" s="10">
        <f t="shared" ref="AA7:AA38" si="6">Y7*Z7</f>
        <v>1700</v>
      </c>
      <c r="AB7" s="4">
        <v>0</v>
      </c>
      <c r="AC7" s="13">
        <f>IF(Inställningar!$B$6="",0,Inställningar!$B$6)</f>
        <v>0.15</v>
      </c>
      <c r="AD7" s="10">
        <f t="shared" ref="AD7:AD38" si="7">ROUND((W7+AA7+IF(AB7="",0,AB7))*(1+AC7),0)</f>
        <v>15000</v>
      </c>
      <c r="AE7" s="12" t="s">
        <v>288</v>
      </c>
    </row>
    <row r="8" spans="1:31" ht="29.25">
      <c r="A8" s="7" t="s">
        <v>46</v>
      </c>
      <c r="B8" s="7" t="s">
        <v>335</v>
      </c>
      <c r="C8" s="7" t="s">
        <v>198</v>
      </c>
      <c r="D8" s="7" t="s">
        <v>339</v>
      </c>
      <c r="E8" s="7" t="s">
        <v>337</v>
      </c>
      <c r="F8" s="7" t="s">
        <v>84</v>
      </c>
      <c r="G8" s="8">
        <v>15000</v>
      </c>
      <c r="H8" s="9">
        <v>2</v>
      </c>
      <c r="I8" s="7" t="s">
        <v>85</v>
      </c>
      <c r="J8" s="7" t="s">
        <v>46</v>
      </c>
      <c r="K8" s="10">
        <f t="shared" si="0"/>
        <v>15000</v>
      </c>
      <c r="L8" s="11">
        <f t="shared" si="1"/>
        <v>2</v>
      </c>
      <c r="M8" s="10">
        <f t="shared" si="2"/>
        <v>15000</v>
      </c>
      <c r="N8" s="11">
        <f t="shared" si="3"/>
        <v>2</v>
      </c>
      <c r="O8" s="3" t="s">
        <v>340</v>
      </c>
      <c r="P8" s="3"/>
      <c r="Q8" s="12" t="s">
        <v>341</v>
      </c>
      <c r="R8" s="12" t="s">
        <v>183</v>
      </c>
      <c r="S8" s="12" t="s">
        <v>89</v>
      </c>
      <c r="T8" s="12">
        <v>1</v>
      </c>
      <c r="U8" s="12" t="s">
        <v>90</v>
      </c>
      <c r="V8" s="18">
        <v>22686.956522</v>
      </c>
      <c r="W8" s="10">
        <f t="shared" si="4"/>
        <v>22686.956522</v>
      </c>
      <c r="X8" s="11">
        <v>4</v>
      </c>
      <c r="Y8" s="11">
        <f t="shared" si="5"/>
        <v>4</v>
      </c>
      <c r="Z8" s="10">
        <f>IF(Inställningar!$B$5="",0,Inställningar!$B$5)</f>
        <v>850</v>
      </c>
      <c r="AA8" s="10">
        <f t="shared" si="6"/>
        <v>3400</v>
      </c>
      <c r="AB8" s="4">
        <v>0</v>
      </c>
      <c r="AC8" s="13">
        <f>IF(Inställningar!$B$6="",0,Inställningar!$B$6)</f>
        <v>0.15</v>
      </c>
      <c r="AD8" s="10">
        <f t="shared" si="7"/>
        <v>30000</v>
      </c>
      <c r="AE8" s="12" t="s">
        <v>288</v>
      </c>
    </row>
    <row r="9" spans="1:31" ht="29.25">
      <c r="A9" s="7" t="s">
        <v>46</v>
      </c>
      <c r="B9" s="7" t="s">
        <v>335</v>
      </c>
      <c r="C9" s="7" t="s">
        <v>200</v>
      </c>
      <c r="D9" s="7" t="s">
        <v>341</v>
      </c>
      <c r="E9" s="7" t="s">
        <v>337</v>
      </c>
      <c r="F9" s="7" t="s">
        <v>84</v>
      </c>
      <c r="G9" s="8">
        <v>30000</v>
      </c>
      <c r="H9" s="9">
        <v>4</v>
      </c>
      <c r="I9" s="7" t="s">
        <v>85</v>
      </c>
      <c r="J9" s="7" t="s">
        <v>46</v>
      </c>
      <c r="K9" s="10">
        <f t="shared" si="0"/>
        <v>30000</v>
      </c>
      <c r="L9" s="11">
        <f t="shared" si="1"/>
        <v>4</v>
      </c>
      <c r="M9" s="10">
        <f t="shared" si="2"/>
        <v>30000</v>
      </c>
      <c r="N9" s="11">
        <f t="shared" si="3"/>
        <v>4</v>
      </c>
      <c r="O9" s="3" t="s">
        <v>342</v>
      </c>
      <c r="P9" s="3"/>
      <c r="Q9" s="12" t="s">
        <v>343</v>
      </c>
      <c r="R9" s="12" t="s">
        <v>344</v>
      </c>
      <c r="S9" s="12" t="s">
        <v>89</v>
      </c>
      <c r="T9" s="12">
        <v>1</v>
      </c>
      <c r="U9" s="12" t="s">
        <v>90</v>
      </c>
      <c r="V9" s="18">
        <v>46321.739130000002</v>
      </c>
      <c r="W9" s="10">
        <f t="shared" si="4"/>
        <v>46321.739130000002</v>
      </c>
      <c r="X9" s="11">
        <v>12</v>
      </c>
      <c r="Y9" s="11">
        <f t="shared" si="5"/>
        <v>12</v>
      </c>
      <c r="Z9" s="10">
        <f>IF(Inställningar!$B$5="",0,Inställningar!$B$5)</f>
        <v>850</v>
      </c>
      <c r="AA9" s="10">
        <f t="shared" si="6"/>
        <v>10200</v>
      </c>
      <c r="AB9" s="4">
        <v>0</v>
      </c>
      <c r="AC9" s="13">
        <f>IF(Inställningar!$B$6="",0,Inställningar!$B$6)</f>
        <v>0.15</v>
      </c>
      <c r="AD9" s="10">
        <f t="shared" si="7"/>
        <v>65000</v>
      </c>
      <c r="AE9" s="12" t="s">
        <v>288</v>
      </c>
    </row>
    <row r="10" spans="1:31" ht="29.25">
      <c r="A10" s="7" t="s">
        <v>46</v>
      </c>
      <c r="B10" s="7" t="s">
        <v>104</v>
      </c>
      <c r="C10" s="7" t="s">
        <v>345</v>
      </c>
      <c r="D10" s="7" t="s">
        <v>343</v>
      </c>
      <c r="E10" s="7" t="s">
        <v>346</v>
      </c>
      <c r="F10" s="7" t="s">
        <v>84</v>
      </c>
      <c r="G10" s="8">
        <v>65000</v>
      </c>
      <c r="H10" s="9">
        <v>12</v>
      </c>
      <c r="I10" s="7" t="s">
        <v>85</v>
      </c>
      <c r="J10" s="7" t="s">
        <v>46</v>
      </c>
      <c r="K10" s="10">
        <f t="shared" si="0"/>
        <v>65000</v>
      </c>
      <c r="L10" s="11">
        <f t="shared" si="1"/>
        <v>12</v>
      </c>
      <c r="M10" s="10">
        <f t="shared" si="2"/>
        <v>65000</v>
      </c>
      <c r="N10" s="11">
        <f t="shared" si="3"/>
        <v>12</v>
      </c>
      <c r="O10" s="3" t="s">
        <v>347</v>
      </c>
      <c r="P10" s="3"/>
      <c r="Q10" s="12" t="s">
        <v>348</v>
      </c>
      <c r="R10" s="12" t="s">
        <v>349</v>
      </c>
      <c r="S10" s="12" t="s">
        <v>89</v>
      </c>
      <c r="T10" s="12">
        <v>1</v>
      </c>
      <c r="U10" s="12" t="s">
        <v>90</v>
      </c>
      <c r="V10" s="18">
        <v>84700</v>
      </c>
      <c r="W10" s="10">
        <f t="shared" si="4"/>
        <v>84700</v>
      </c>
      <c r="X10" s="11">
        <v>18</v>
      </c>
      <c r="Y10" s="11">
        <f t="shared" si="5"/>
        <v>18</v>
      </c>
      <c r="Z10" s="10">
        <f>IF(Inställningar!$B$5="",0,Inställningar!$B$5)</f>
        <v>850</v>
      </c>
      <c r="AA10" s="10">
        <f t="shared" si="6"/>
        <v>15300</v>
      </c>
      <c r="AB10" s="4">
        <v>0</v>
      </c>
      <c r="AC10" s="13">
        <f>IF(Inställningar!$B$6="",0,Inställningar!$B$6)</f>
        <v>0.15</v>
      </c>
      <c r="AD10" s="10">
        <f t="shared" si="7"/>
        <v>115000</v>
      </c>
      <c r="AE10" s="12" t="s">
        <v>288</v>
      </c>
    </row>
    <row r="11" spans="1:31" ht="29.25">
      <c r="A11" s="7" t="s">
        <v>46</v>
      </c>
      <c r="B11" s="7" t="s">
        <v>104</v>
      </c>
      <c r="C11" s="7" t="s">
        <v>350</v>
      </c>
      <c r="D11" s="7" t="s">
        <v>348</v>
      </c>
      <c r="E11" s="7" t="s">
        <v>351</v>
      </c>
      <c r="F11" s="7" t="s">
        <v>84</v>
      </c>
      <c r="G11" s="8">
        <v>115000</v>
      </c>
      <c r="H11" s="9">
        <v>18</v>
      </c>
      <c r="I11" s="7" t="s">
        <v>85</v>
      </c>
      <c r="J11" s="7" t="s">
        <v>46</v>
      </c>
      <c r="K11" s="10">
        <f t="shared" si="0"/>
        <v>115000</v>
      </c>
      <c r="L11" s="11">
        <f t="shared" si="1"/>
        <v>18</v>
      </c>
      <c r="M11" s="10">
        <f t="shared" si="2"/>
        <v>115000</v>
      </c>
      <c r="N11" s="11">
        <f t="shared" si="3"/>
        <v>18</v>
      </c>
      <c r="O11" s="3" t="s">
        <v>352</v>
      </c>
      <c r="P11" s="3"/>
      <c r="Q11" s="12" t="s">
        <v>353</v>
      </c>
      <c r="R11" s="12" t="s">
        <v>354</v>
      </c>
      <c r="S11" s="12" t="s">
        <v>89</v>
      </c>
      <c r="T11" s="12">
        <v>1</v>
      </c>
      <c r="U11" s="12" t="s">
        <v>90</v>
      </c>
      <c r="V11" s="18">
        <v>27034.782609000002</v>
      </c>
      <c r="W11" s="10">
        <f t="shared" si="4"/>
        <v>27034.782609000002</v>
      </c>
      <c r="X11" s="11">
        <v>4</v>
      </c>
      <c r="Y11" s="11">
        <f t="shared" si="5"/>
        <v>4</v>
      </c>
      <c r="Z11" s="10">
        <f>IF(Inställningar!$B$5="",0,Inställningar!$B$5)</f>
        <v>850</v>
      </c>
      <c r="AA11" s="10">
        <f t="shared" si="6"/>
        <v>3400</v>
      </c>
      <c r="AB11" s="4">
        <v>0</v>
      </c>
      <c r="AC11" s="13">
        <f>IF(Inställningar!$B$6="",0,Inställningar!$B$6)</f>
        <v>0.15</v>
      </c>
      <c r="AD11" s="10">
        <f t="shared" si="7"/>
        <v>35000</v>
      </c>
      <c r="AE11" s="12" t="s">
        <v>288</v>
      </c>
    </row>
    <row r="12" spans="1:31" ht="29.25">
      <c r="A12" s="7" t="s">
        <v>46</v>
      </c>
      <c r="B12" s="7" t="s">
        <v>318</v>
      </c>
      <c r="C12" s="7" t="s">
        <v>355</v>
      </c>
      <c r="D12" s="7" t="s">
        <v>353</v>
      </c>
      <c r="E12" s="7" t="s">
        <v>356</v>
      </c>
      <c r="F12" s="7" t="s">
        <v>84</v>
      </c>
      <c r="G12" s="8">
        <v>35000</v>
      </c>
      <c r="H12" s="9">
        <v>4</v>
      </c>
      <c r="I12" s="7" t="s">
        <v>85</v>
      </c>
      <c r="J12" s="7" t="s">
        <v>46</v>
      </c>
      <c r="K12" s="10">
        <f t="shared" si="0"/>
        <v>35000</v>
      </c>
      <c r="L12" s="11">
        <f t="shared" si="1"/>
        <v>4</v>
      </c>
      <c r="M12" s="10">
        <f t="shared" si="2"/>
        <v>35000</v>
      </c>
      <c r="N12" s="11">
        <f t="shared" si="3"/>
        <v>4</v>
      </c>
      <c r="O12" s="3" t="s">
        <v>357</v>
      </c>
      <c r="P12" s="3"/>
      <c r="Q12" s="12" t="s">
        <v>358</v>
      </c>
      <c r="R12" s="12" t="s">
        <v>359</v>
      </c>
      <c r="S12" s="12" t="s">
        <v>89</v>
      </c>
      <c r="T12" s="12">
        <v>1</v>
      </c>
      <c r="U12" s="12" t="s">
        <v>90</v>
      </c>
      <c r="V12" s="18">
        <v>51421.739130000002</v>
      </c>
      <c r="W12" s="10">
        <f t="shared" si="4"/>
        <v>51421.739130000002</v>
      </c>
      <c r="X12" s="11">
        <v>6</v>
      </c>
      <c r="Y12" s="11">
        <f t="shared" si="5"/>
        <v>6</v>
      </c>
      <c r="Z12" s="10">
        <f>IF(Inställningar!$B$5="",0,Inställningar!$B$5)</f>
        <v>850</v>
      </c>
      <c r="AA12" s="10">
        <f t="shared" si="6"/>
        <v>5100</v>
      </c>
      <c r="AB12" s="4">
        <v>0</v>
      </c>
      <c r="AC12" s="13">
        <f>IF(Inställningar!$B$6="",0,Inställningar!$B$6)</f>
        <v>0.15</v>
      </c>
      <c r="AD12" s="10">
        <f t="shared" si="7"/>
        <v>65000</v>
      </c>
      <c r="AE12" s="12" t="s">
        <v>288</v>
      </c>
    </row>
    <row r="13" spans="1:31" ht="29.25">
      <c r="A13" s="7" t="s">
        <v>46</v>
      </c>
      <c r="B13" s="7" t="s">
        <v>318</v>
      </c>
      <c r="C13" s="7" t="s">
        <v>360</v>
      </c>
      <c r="D13" s="7" t="s">
        <v>358</v>
      </c>
      <c r="E13" s="7" t="s">
        <v>356</v>
      </c>
      <c r="F13" s="7" t="s">
        <v>84</v>
      </c>
      <c r="G13" s="8">
        <v>65000</v>
      </c>
      <c r="H13" s="9">
        <v>6</v>
      </c>
      <c r="I13" s="7" t="s">
        <v>85</v>
      </c>
      <c r="J13" s="7" t="s">
        <v>46</v>
      </c>
      <c r="K13" s="10">
        <f t="shared" si="0"/>
        <v>65000</v>
      </c>
      <c r="L13" s="11">
        <f t="shared" si="1"/>
        <v>6</v>
      </c>
      <c r="M13" s="10">
        <f t="shared" si="2"/>
        <v>65000</v>
      </c>
      <c r="N13" s="11">
        <f t="shared" si="3"/>
        <v>6</v>
      </c>
      <c r="O13" s="3" t="s">
        <v>361</v>
      </c>
      <c r="P13" s="3"/>
      <c r="Q13" s="12" t="s">
        <v>362</v>
      </c>
      <c r="R13" s="12" t="s">
        <v>363</v>
      </c>
      <c r="S13" s="12" t="s">
        <v>89</v>
      </c>
      <c r="T13" s="12">
        <v>1</v>
      </c>
      <c r="U13" s="12" t="s">
        <v>90</v>
      </c>
      <c r="V13" s="18">
        <v>19247.826087000001</v>
      </c>
      <c r="W13" s="10">
        <f t="shared" si="4"/>
        <v>19247.826087000001</v>
      </c>
      <c r="X13" s="11">
        <v>6</v>
      </c>
      <c r="Y13" s="11">
        <f t="shared" si="5"/>
        <v>6</v>
      </c>
      <c r="Z13" s="10">
        <f>IF(Inställningar!$B$5="",0,Inställningar!$B$5)</f>
        <v>850</v>
      </c>
      <c r="AA13" s="10">
        <f t="shared" si="6"/>
        <v>5100</v>
      </c>
      <c r="AB13" s="4">
        <v>0</v>
      </c>
      <c r="AC13" s="13">
        <f>IF(Inställningar!$B$6="",0,Inställningar!$B$6)</f>
        <v>0.15</v>
      </c>
      <c r="AD13" s="10">
        <f t="shared" si="7"/>
        <v>28000</v>
      </c>
      <c r="AE13" s="12" t="s">
        <v>288</v>
      </c>
    </row>
    <row r="14" spans="1:31" ht="29.25">
      <c r="A14" s="7" t="s">
        <v>46</v>
      </c>
      <c r="B14" s="7" t="s">
        <v>364</v>
      </c>
      <c r="C14" s="7" t="s">
        <v>365</v>
      </c>
      <c r="D14" s="7" t="s">
        <v>362</v>
      </c>
      <c r="E14" s="7" t="s">
        <v>366</v>
      </c>
      <c r="F14" s="7" t="s">
        <v>84</v>
      </c>
      <c r="G14" s="8">
        <v>28000</v>
      </c>
      <c r="H14" s="9">
        <v>6</v>
      </c>
      <c r="I14" s="7" t="s">
        <v>85</v>
      </c>
      <c r="J14" s="7" t="s">
        <v>46</v>
      </c>
      <c r="K14" s="10">
        <f t="shared" si="0"/>
        <v>28000</v>
      </c>
      <c r="L14" s="11">
        <f t="shared" si="1"/>
        <v>6</v>
      </c>
      <c r="M14" s="10">
        <f t="shared" si="2"/>
        <v>28000</v>
      </c>
      <c r="N14" s="11">
        <f t="shared" si="3"/>
        <v>6</v>
      </c>
      <c r="O14" s="3" t="s">
        <v>367</v>
      </c>
      <c r="P14" s="3"/>
      <c r="Q14" s="12" t="s">
        <v>368</v>
      </c>
      <c r="R14" s="12" t="s">
        <v>369</v>
      </c>
      <c r="S14" s="12" t="s">
        <v>89</v>
      </c>
      <c r="T14" s="12">
        <v>1</v>
      </c>
      <c r="U14" s="12" t="s">
        <v>90</v>
      </c>
      <c r="V14" s="18">
        <v>39326.086957</v>
      </c>
      <c r="W14" s="10">
        <f t="shared" si="4"/>
        <v>39326.086957</v>
      </c>
      <c r="X14" s="11">
        <v>10</v>
      </c>
      <c r="Y14" s="11">
        <f t="shared" si="5"/>
        <v>10</v>
      </c>
      <c r="Z14" s="10">
        <f>IF(Inställningar!$B$5="",0,Inställningar!$B$5)</f>
        <v>850</v>
      </c>
      <c r="AA14" s="10">
        <f t="shared" si="6"/>
        <v>8500</v>
      </c>
      <c r="AB14" s="4">
        <v>0</v>
      </c>
      <c r="AC14" s="13">
        <f>IF(Inställningar!$B$6="",0,Inställningar!$B$6)</f>
        <v>0.15</v>
      </c>
      <c r="AD14" s="10">
        <f t="shared" si="7"/>
        <v>55000</v>
      </c>
      <c r="AE14" s="12" t="s">
        <v>288</v>
      </c>
    </row>
    <row r="15" spans="1:31" ht="29.25">
      <c r="A15" s="7" t="s">
        <v>46</v>
      </c>
      <c r="B15" s="7" t="s">
        <v>364</v>
      </c>
      <c r="C15" s="7" t="s">
        <v>370</v>
      </c>
      <c r="D15" s="7" t="s">
        <v>368</v>
      </c>
      <c r="E15" s="7" t="s">
        <v>366</v>
      </c>
      <c r="F15" s="7" t="s">
        <v>84</v>
      </c>
      <c r="G15" s="8">
        <v>55000</v>
      </c>
      <c r="H15" s="9">
        <v>10</v>
      </c>
      <c r="I15" s="7" t="s">
        <v>85</v>
      </c>
      <c r="J15" s="7" t="s">
        <v>46</v>
      </c>
      <c r="K15" s="10">
        <f t="shared" si="0"/>
        <v>55000</v>
      </c>
      <c r="L15" s="11">
        <f t="shared" si="1"/>
        <v>10</v>
      </c>
      <c r="M15" s="10">
        <f t="shared" si="2"/>
        <v>55000</v>
      </c>
      <c r="N15" s="11">
        <f t="shared" si="3"/>
        <v>10</v>
      </c>
      <c r="O15" s="3" t="s">
        <v>371</v>
      </c>
      <c r="P15" s="3"/>
      <c r="Q15" s="12" t="s">
        <v>372</v>
      </c>
      <c r="R15" s="12" t="s">
        <v>103</v>
      </c>
      <c r="S15" s="12" t="s">
        <v>89</v>
      </c>
      <c r="T15" s="12">
        <v>1</v>
      </c>
      <c r="U15" s="12" t="s">
        <v>90</v>
      </c>
      <c r="V15" s="18">
        <v>8734.7826089999999</v>
      </c>
      <c r="W15" s="10">
        <f t="shared" si="4"/>
        <v>8734.7826089999999</v>
      </c>
      <c r="X15" s="11">
        <v>2</v>
      </c>
      <c r="Y15" s="11">
        <f t="shared" si="5"/>
        <v>2</v>
      </c>
      <c r="Z15" s="10">
        <f>IF(Inställningar!$B$5="",0,Inställningar!$B$5)</f>
        <v>850</v>
      </c>
      <c r="AA15" s="10">
        <f t="shared" si="6"/>
        <v>1700</v>
      </c>
      <c r="AB15" s="4">
        <v>0</v>
      </c>
      <c r="AC15" s="13">
        <f>IF(Inställningar!$B$6="",0,Inställningar!$B$6)</f>
        <v>0.15</v>
      </c>
      <c r="AD15" s="10">
        <f t="shared" si="7"/>
        <v>12000</v>
      </c>
      <c r="AE15" s="12" t="s">
        <v>288</v>
      </c>
    </row>
    <row r="16" spans="1:31" ht="29.25">
      <c r="A16" s="7" t="s">
        <v>46</v>
      </c>
      <c r="B16" s="7" t="s">
        <v>124</v>
      </c>
      <c r="C16" s="7" t="s">
        <v>81</v>
      </c>
      <c r="D16" s="7" t="s">
        <v>372</v>
      </c>
      <c r="E16" s="7" t="s">
        <v>126</v>
      </c>
      <c r="F16" s="7" t="s">
        <v>84</v>
      </c>
      <c r="G16" s="8">
        <v>12000</v>
      </c>
      <c r="H16" s="9">
        <v>2</v>
      </c>
      <c r="I16" s="7" t="s">
        <v>85</v>
      </c>
      <c r="J16" s="7" t="s">
        <v>46</v>
      </c>
      <c r="K16" s="10">
        <f t="shared" si="0"/>
        <v>12000</v>
      </c>
      <c r="L16" s="11">
        <f t="shared" si="1"/>
        <v>2</v>
      </c>
      <c r="M16" s="10">
        <f t="shared" si="2"/>
        <v>12000</v>
      </c>
      <c r="N16" s="11">
        <f t="shared" si="3"/>
        <v>2</v>
      </c>
      <c r="O16" s="3" t="s">
        <v>296</v>
      </c>
      <c r="P16" s="3"/>
      <c r="Q16" s="12" t="s">
        <v>122</v>
      </c>
      <c r="R16" s="12" t="s">
        <v>123</v>
      </c>
      <c r="S16" s="12" t="s">
        <v>89</v>
      </c>
      <c r="T16" s="12">
        <v>1</v>
      </c>
      <c r="U16" s="12" t="s">
        <v>90</v>
      </c>
      <c r="V16" s="18">
        <v>20947.826087000001</v>
      </c>
      <c r="W16" s="10">
        <f t="shared" si="4"/>
        <v>20947.826087000001</v>
      </c>
      <c r="X16" s="11">
        <v>4</v>
      </c>
      <c r="Y16" s="11">
        <f t="shared" si="5"/>
        <v>4</v>
      </c>
      <c r="Z16" s="10">
        <f>IF(Inställningar!$B$5="",0,Inställningar!$B$5)</f>
        <v>850</v>
      </c>
      <c r="AA16" s="10">
        <f t="shared" si="6"/>
        <v>3400</v>
      </c>
      <c r="AB16" s="4">
        <v>0</v>
      </c>
      <c r="AC16" s="13">
        <f>IF(Inställningar!$B$6="",0,Inställningar!$B$6)</f>
        <v>0.15</v>
      </c>
      <c r="AD16" s="10">
        <f t="shared" si="7"/>
        <v>28000</v>
      </c>
      <c r="AE16" s="12" t="s">
        <v>288</v>
      </c>
    </row>
    <row r="17" spans="1:31" ht="29.25">
      <c r="A17" s="7" t="s">
        <v>46</v>
      </c>
      <c r="B17" s="7" t="s">
        <v>124</v>
      </c>
      <c r="C17" s="7" t="s">
        <v>130</v>
      </c>
      <c r="D17" s="7" t="s">
        <v>122</v>
      </c>
      <c r="E17" s="7" t="s">
        <v>126</v>
      </c>
      <c r="F17" s="7" t="s">
        <v>84</v>
      </c>
      <c r="G17" s="8">
        <v>28000</v>
      </c>
      <c r="H17" s="9">
        <v>4</v>
      </c>
      <c r="I17" s="7" t="s">
        <v>85</v>
      </c>
      <c r="J17" s="7" t="s">
        <v>46</v>
      </c>
      <c r="K17" s="10">
        <f t="shared" si="0"/>
        <v>28000</v>
      </c>
      <c r="L17" s="11">
        <f t="shared" si="1"/>
        <v>4</v>
      </c>
      <c r="M17" s="10">
        <f t="shared" si="2"/>
        <v>28000</v>
      </c>
      <c r="N17" s="11">
        <f t="shared" si="3"/>
        <v>4</v>
      </c>
      <c r="O17" s="3" t="s">
        <v>373</v>
      </c>
      <c r="P17" s="3"/>
      <c r="Q17" s="12" t="s">
        <v>374</v>
      </c>
      <c r="R17" s="12" t="s">
        <v>129</v>
      </c>
      <c r="S17" s="12" t="s">
        <v>89</v>
      </c>
      <c r="T17" s="12">
        <v>1</v>
      </c>
      <c r="U17" s="12" t="s">
        <v>90</v>
      </c>
      <c r="V17" s="18">
        <v>13952.173913000001</v>
      </c>
      <c r="W17" s="10">
        <f t="shared" si="4"/>
        <v>13952.173913000001</v>
      </c>
      <c r="X17" s="11">
        <v>2</v>
      </c>
      <c r="Y17" s="11">
        <f t="shared" si="5"/>
        <v>2</v>
      </c>
      <c r="Z17" s="10">
        <f>IF(Inställningar!$B$5="",0,Inställningar!$B$5)</f>
        <v>850</v>
      </c>
      <c r="AA17" s="10">
        <f t="shared" si="6"/>
        <v>1700</v>
      </c>
      <c r="AB17" s="4">
        <v>0</v>
      </c>
      <c r="AC17" s="13">
        <f>IF(Inställningar!$B$6="",0,Inställningar!$B$6)</f>
        <v>0.15</v>
      </c>
      <c r="AD17" s="10">
        <f t="shared" si="7"/>
        <v>18000</v>
      </c>
      <c r="AE17" s="12" t="s">
        <v>288</v>
      </c>
    </row>
    <row r="18" spans="1:31" ht="29.25">
      <c r="A18" s="7" t="s">
        <v>46</v>
      </c>
      <c r="B18" s="7" t="s">
        <v>375</v>
      </c>
      <c r="C18" s="7" t="s">
        <v>139</v>
      </c>
      <c r="D18" s="7" t="s">
        <v>374</v>
      </c>
      <c r="E18" s="7" t="s">
        <v>376</v>
      </c>
      <c r="F18" s="7" t="s">
        <v>84</v>
      </c>
      <c r="G18" s="8">
        <v>18000</v>
      </c>
      <c r="H18" s="9">
        <v>2</v>
      </c>
      <c r="I18" s="7" t="s">
        <v>85</v>
      </c>
      <c r="J18" s="7" t="s">
        <v>46</v>
      </c>
      <c r="K18" s="10">
        <f t="shared" si="0"/>
        <v>18000</v>
      </c>
      <c r="L18" s="11">
        <f t="shared" si="1"/>
        <v>2</v>
      </c>
      <c r="M18" s="10">
        <f t="shared" si="2"/>
        <v>18000</v>
      </c>
      <c r="N18" s="11">
        <f t="shared" si="3"/>
        <v>2</v>
      </c>
      <c r="O18" s="3" t="s">
        <v>377</v>
      </c>
      <c r="P18" s="3"/>
      <c r="Q18" s="12" t="s">
        <v>378</v>
      </c>
      <c r="R18" s="12" t="s">
        <v>379</v>
      </c>
      <c r="S18" s="12" t="s">
        <v>89</v>
      </c>
      <c r="T18" s="12">
        <v>1</v>
      </c>
      <c r="U18" s="12" t="s">
        <v>90</v>
      </c>
      <c r="V18" s="18">
        <v>33121.739130000002</v>
      </c>
      <c r="W18" s="10">
        <f t="shared" si="4"/>
        <v>33121.739130000002</v>
      </c>
      <c r="X18" s="11">
        <v>4</v>
      </c>
      <c r="Y18" s="11">
        <f t="shared" si="5"/>
        <v>4</v>
      </c>
      <c r="Z18" s="10">
        <f>IF(Inställningar!$B$5="",0,Inställningar!$B$5)</f>
        <v>850</v>
      </c>
      <c r="AA18" s="10">
        <f t="shared" si="6"/>
        <v>3400</v>
      </c>
      <c r="AB18" s="4">
        <v>0</v>
      </c>
      <c r="AC18" s="13">
        <f>IF(Inställningar!$B$6="",0,Inställningar!$B$6)</f>
        <v>0.15</v>
      </c>
      <c r="AD18" s="10">
        <f t="shared" si="7"/>
        <v>42000</v>
      </c>
      <c r="AE18" s="12" t="s">
        <v>288</v>
      </c>
    </row>
    <row r="19" spans="1:31" ht="29.25">
      <c r="A19" s="7" t="s">
        <v>46</v>
      </c>
      <c r="B19" s="7" t="s">
        <v>375</v>
      </c>
      <c r="C19" s="7" t="s">
        <v>380</v>
      </c>
      <c r="D19" s="7" t="s">
        <v>378</v>
      </c>
      <c r="E19" s="7" t="s">
        <v>376</v>
      </c>
      <c r="F19" s="7" t="s">
        <v>84</v>
      </c>
      <c r="G19" s="8">
        <v>42000</v>
      </c>
      <c r="H19" s="9">
        <v>4</v>
      </c>
      <c r="I19" s="7" t="s">
        <v>85</v>
      </c>
      <c r="J19" s="7" t="s">
        <v>46</v>
      </c>
      <c r="K19" s="10">
        <f t="shared" si="0"/>
        <v>42000</v>
      </c>
      <c r="L19" s="11">
        <f t="shared" si="1"/>
        <v>4</v>
      </c>
      <c r="M19" s="10">
        <f t="shared" si="2"/>
        <v>42000</v>
      </c>
      <c r="N19" s="11">
        <f t="shared" si="3"/>
        <v>4</v>
      </c>
      <c r="O19" s="3" t="s">
        <v>381</v>
      </c>
      <c r="P19" s="3"/>
      <c r="Q19" s="12" t="s">
        <v>382</v>
      </c>
      <c r="R19" s="12" t="s">
        <v>383</v>
      </c>
      <c r="S19" s="12" t="s">
        <v>89</v>
      </c>
      <c r="T19" s="12">
        <v>1</v>
      </c>
      <c r="U19" s="12" t="s">
        <v>90</v>
      </c>
      <c r="V19" s="18">
        <v>6444.5652170000003</v>
      </c>
      <c r="W19" s="10">
        <f t="shared" si="4"/>
        <v>6444.5652170000003</v>
      </c>
      <c r="X19" s="11">
        <v>0.5</v>
      </c>
      <c r="Y19" s="11">
        <f t="shared" si="5"/>
        <v>0.5</v>
      </c>
      <c r="Z19" s="10">
        <f>IF(Inställningar!$B$5="",0,Inställningar!$B$5)</f>
        <v>850</v>
      </c>
      <c r="AA19" s="10">
        <f t="shared" si="6"/>
        <v>425</v>
      </c>
      <c r="AB19" s="4">
        <v>0</v>
      </c>
      <c r="AC19" s="13">
        <f>IF(Inställningar!$B$6="",0,Inställningar!$B$6)</f>
        <v>0.15</v>
      </c>
      <c r="AD19" s="10">
        <f t="shared" si="7"/>
        <v>7900</v>
      </c>
      <c r="AE19" s="12" t="s">
        <v>288</v>
      </c>
    </row>
    <row r="20" spans="1:31" ht="29.25">
      <c r="A20" s="7" t="s">
        <v>46</v>
      </c>
      <c r="B20" s="7" t="s">
        <v>174</v>
      </c>
      <c r="C20" s="7" t="s">
        <v>384</v>
      </c>
      <c r="D20" s="7" t="s">
        <v>382</v>
      </c>
      <c r="E20" s="7" t="s">
        <v>385</v>
      </c>
      <c r="F20" s="7" t="s">
        <v>30</v>
      </c>
      <c r="G20" s="8">
        <v>7900</v>
      </c>
      <c r="H20" s="9">
        <v>0.5</v>
      </c>
      <c r="I20" s="7" t="s">
        <v>85</v>
      </c>
      <c r="J20" s="7" t="s">
        <v>46</v>
      </c>
      <c r="K20" s="10">
        <f t="shared" si="0"/>
        <v>7900</v>
      </c>
      <c r="L20" s="11">
        <f t="shared" si="1"/>
        <v>0.5</v>
      </c>
      <c r="M20" s="10">
        <f t="shared" si="2"/>
        <v>7900</v>
      </c>
      <c r="N20" s="11">
        <f t="shared" si="3"/>
        <v>0.5</v>
      </c>
      <c r="O20" s="3" t="s">
        <v>386</v>
      </c>
      <c r="P20" s="3"/>
      <c r="Q20" s="12" t="s">
        <v>387</v>
      </c>
      <c r="R20" s="12" t="s">
        <v>388</v>
      </c>
      <c r="S20" s="12" t="s">
        <v>89</v>
      </c>
      <c r="T20" s="12">
        <v>1</v>
      </c>
      <c r="U20" s="12" t="s">
        <v>90</v>
      </c>
      <c r="V20" s="18">
        <v>14377.173913000001</v>
      </c>
      <c r="W20" s="10">
        <f t="shared" si="4"/>
        <v>14377.173913000001</v>
      </c>
      <c r="X20" s="11">
        <v>1.5</v>
      </c>
      <c r="Y20" s="11">
        <f t="shared" si="5"/>
        <v>1.5</v>
      </c>
      <c r="Z20" s="10">
        <f>IF(Inställningar!$B$5="",0,Inställningar!$B$5)</f>
        <v>850</v>
      </c>
      <c r="AA20" s="10">
        <f t="shared" si="6"/>
        <v>1275</v>
      </c>
      <c r="AB20" s="4">
        <v>0</v>
      </c>
      <c r="AC20" s="13">
        <f>IF(Inställningar!$B$6="",0,Inställningar!$B$6)</f>
        <v>0.15</v>
      </c>
      <c r="AD20" s="10">
        <f t="shared" si="7"/>
        <v>18000</v>
      </c>
      <c r="AE20" s="12" t="s">
        <v>288</v>
      </c>
    </row>
    <row r="21" spans="1:31" ht="29.25">
      <c r="A21" s="7" t="s">
        <v>46</v>
      </c>
      <c r="B21" s="7" t="s">
        <v>174</v>
      </c>
      <c r="C21" s="7" t="s">
        <v>389</v>
      </c>
      <c r="D21" s="7" t="s">
        <v>387</v>
      </c>
      <c r="E21" s="7" t="s">
        <v>385</v>
      </c>
      <c r="F21" s="7" t="s">
        <v>30</v>
      </c>
      <c r="G21" s="8">
        <v>18000</v>
      </c>
      <c r="H21" s="9">
        <v>1.5</v>
      </c>
      <c r="I21" s="7" t="s">
        <v>85</v>
      </c>
      <c r="J21" s="7" t="s">
        <v>46</v>
      </c>
      <c r="K21" s="10">
        <f t="shared" si="0"/>
        <v>18000</v>
      </c>
      <c r="L21" s="11">
        <f t="shared" si="1"/>
        <v>1.5</v>
      </c>
      <c r="M21" s="10">
        <f t="shared" si="2"/>
        <v>18000</v>
      </c>
      <c r="N21" s="11">
        <f t="shared" si="3"/>
        <v>1.5</v>
      </c>
      <c r="O21" s="3" t="s">
        <v>390</v>
      </c>
      <c r="P21" s="3"/>
      <c r="Q21" s="12" t="s">
        <v>391</v>
      </c>
      <c r="R21" s="12" t="s">
        <v>392</v>
      </c>
      <c r="S21" s="12" t="s">
        <v>89</v>
      </c>
      <c r="T21" s="12">
        <v>1</v>
      </c>
      <c r="U21" s="12" t="s">
        <v>90</v>
      </c>
      <c r="V21" s="18">
        <v>21026.086957</v>
      </c>
      <c r="W21" s="10">
        <f t="shared" si="4"/>
        <v>21026.086957</v>
      </c>
      <c r="X21" s="11">
        <v>8</v>
      </c>
      <c r="Y21" s="11">
        <f t="shared" si="5"/>
        <v>8</v>
      </c>
      <c r="Z21" s="10">
        <f>IF(Inställningar!$B$5="",0,Inställningar!$B$5)</f>
        <v>850</v>
      </c>
      <c r="AA21" s="10">
        <f t="shared" si="6"/>
        <v>6800</v>
      </c>
      <c r="AB21" s="4">
        <v>0</v>
      </c>
      <c r="AC21" s="13">
        <f>IF(Inställningar!$B$6="",0,Inställningar!$B$6)</f>
        <v>0.15</v>
      </c>
      <c r="AD21" s="10">
        <f t="shared" si="7"/>
        <v>32000</v>
      </c>
      <c r="AE21" s="12" t="s">
        <v>288</v>
      </c>
    </row>
    <row r="22" spans="1:31" ht="29.25">
      <c r="A22" s="7" t="s">
        <v>46</v>
      </c>
      <c r="B22" s="7" t="s">
        <v>300</v>
      </c>
      <c r="C22" s="7" t="s">
        <v>239</v>
      </c>
      <c r="D22" s="7" t="s">
        <v>391</v>
      </c>
      <c r="E22" s="7" t="s">
        <v>393</v>
      </c>
      <c r="F22" s="7" t="s">
        <v>84</v>
      </c>
      <c r="G22" s="8">
        <v>32000</v>
      </c>
      <c r="H22" s="9">
        <v>8</v>
      </c>
      <c r="I22" s="7" t="s">
        <v>85</v>
      </c>
      <c r="J22" s="7" t="s">
        <v>46</v>
      </c>
      <c r="K22" s="10">
        <f t="shared" si="0"/>
        <v>32000</v>
      </c>
      <c r="L22" s="11">
        <f t="shared" si="1"/>
        <v>8</v>
      </c>
      <c r="M22" s="10">
        <f t="shared" si="2"/>
        <v>32000</v>
      </c>
      <c r="N22" s="11">
        <f t="shared" si="3"/>
        <v>8</v>
      </c>
      <c r="O22" s="3" t="s">
        <v>328</v>
      </c>
      <c r="P22" s="3"/>
      <c r="Q22" s="12" t="s">
        <v>304</v>
      </c>
      <c r="R22" s="12" t="s">
        <v>305</v>
      </c>
      <c r="S22" s="12" t="s">
        <v>89</v>
      </c>
      <c r="T22" s="12">
        <v>1</v>
      </c>
      <c r="U22" s="12" t="s">
        <v>90</v>
      </c>
      <c r="V22" s="18">
        <v>18319.565216999999</v>
      </c>
      <c r="W22" s="10">
        <f t="shared" si="4"/>
        <v>18319.565216999999</v>
      </c>
      <c r="X22" s="11">
        <v>3</v>
      </c>
      <c r="Y22" s="11">
        <f t="shared" si="5"/>
        <v>3</v>
      </c>
      <c r="Z22" s="10">
        <f>IF(Inställningar!$B$5="",0,Inställningar!$B$5)</f>
        <v>850</v>
      </c>
      <c r="AA22" s="10">
        <f t="shared" si="6"/>
        <v>2550</v>
      </c>
      <c r="AB22" s="4">
        <v>0</v>
      </c>
      <c r="AC22" s="13">
        <f>IF(Inställningar!$B$6="",0,Inställningar!$B$6)</f>
        <v>0.15</v>
      </c>
      <c r="AD22" s="10">
        <f t="shared" si="7"/>
        <v>24000</v>
      </c>
      <c r="AE22" s="12" t="s">
        <v>288</v>
      </c>
    </row>
    <row r="23" spans="1:31" ht="29.25">
      <c r="A23" s="7" t="s">
        <v>46</v>
      </c>
      <c r="B23" s="7" t="s">
        <v>300</v>
      </c>
      <c r="C23" s="7" t="s">
        <v>149</v>
      </c>
      <c r="D23" s="7" t="s">
        <v>304</v>
      </c>
      <c r="E23" s="7" t="s">
        <v>394</v>
      </c>
      <c r="F23" s="7" t="s">
        <v>84</v>
      </c>
      <c r="G23" s="8">
        <v>24000</v>
      </c>
      <c r="H23" s="9">
        <v>3</v>
      </c>
      <c r="I23" s="7" t="s">
        <v>85</v>
      </c>
      <c r="J23" s="7" t="s">
        <v>46</v>
      </c>
      <c r="K23" s="10">
        <f t="shared" si="0"/>
        <v>24000</v>
      </c>
      <c r="L23" s="11">
        <f t="shared" si="1"/>
        <v>3</v>
      </c>
      <c r="M23" s="10">
        <f t="shared" si="2"/>
        <v>24000</v>
      </c>
      <c r="N23" s="11">
        <f t="shared" si="3"/>
        <v>3</v>
      </c>
      <c r="O23" s="3" t="s">
        <v>328</v>
      </c>
      <c r="P23" s="3"/>
      <c r="Q23" s="12" t="s">
        <v>186</v>
      </c>
      <c r="R23" s="12" t="s">
        <v>187</v>
      </c>
      <c r="S23" s="12" t="s">
        <v>89</v>
      </c>
      <c r="T23" s="12">
        <v>1</v>
      </c>
      <c r="U23" s="12" t="s">
        <v>90</v>
      </c>
      <c r="V23" s="18">
        <v>6145.6521739999998</v>
      </c>
      <c r="W23" s="10">
        <f t="shared" si="4"/>
        <v>6145.6521739999998</v>
      </c>
      <c r="X23" s="11">
        <v>3</v>
      </c>
      <c r="Y23" s="11">
        <f t="shared" si="5"/>
        <v>3</v>
      </c>
      <c r="Z23" s="10">
        <f>IF(Inställningar!$B$5="",0,Inställningar!$B$5)</f>
        <v>850</v>
      </c>
      <c r="AA23" s="10">
        <f t="shared" si="6"/>
        <v>2550</v>
      </c>
      <c r="AB23" s="4">
        <v>0</v>
      </c>
      <c r="AC23" s="13">
        <f>IF(Inställningar!$B$6="",0,Inställningar!$B$6)</f>
        <v>0.15</v>
      </c>
      <c r="AD23" s="10">
        <f t="shared" si="7"/>
        <v>10000</v>
      </c>
      <c r="AE23" s="12" t="s">
        <v>288</v>
      </c>
    </row>
    <row r="24" spans="1:31" ht="29.25">
      <c r="A24" s="7" t="s">
        <v>46</v>
      </c>
      <c r="B24" s="7" t="s">
        <v>205</v>
      </c>
      <c r="C24" s="7" t="s">
        <v>220</v>
      </c>
      <c r="D24" s="7" t="s">
        <v>186</v>
      </c>
      <c r="E24" s="7" t="s">
        <v>327</v>
      </c>
      <c r="F24" s="7" t="s">
        <v>84</v>
      </c>
      <c r="G24" s="8">
        <v>10000</v>
      </c>
      <c r="H24" s="9">
        <v>3</v>
      </c>
      <c r="I24" s="7" t="s">
        <v>85</v>
      </c>
      <c r="J24" s="7" t="s">
        <v>46</v>
      </c>
      <c r="K24" s="10">
        <f t="shared" si="0"/>
        <v>10000</v>
      </c>
      <c r="L24" s="11">
        <f t="shared" si="1"/>
        <v>3</v>
      </c>
      <c r="M24" s="10">
        <f t="shared" si="2"/>
        <v>10000</v>
      </c>
      <c r="N24" s="11">
        <f t="shared" si="3"/>
        <v>3</v>
      </c>
      <c r="O24" s="3" t="s">
        <v>328</v>
      </c>
      <c r="P24" s="3"/>
      <c r="Q24" s="12"/>
      <c r="R24" s="12"/>
      <c r="S24" s="12"/>
      <c r="T24" s="12"/>
      <c r="U24" s="12"/>
      <c r="V24" s="18"/>
      <c r="W24" s="10">
        <f t="shared" si="4"/>
        <v>0</v>
      </c>
      <c r="X24" s="11"/>
      <c r="Y24" s="11">
        <f t="shared" si="5"/>
        <v>0</v>
      </c>
      <c r="Z24" s="10">
        <f>IF(Inställningar!$B$5="",0,Inställningar!$B$5)</f>
        <v>850</v>
      </c>
      <c r="AA24" s="10">
        <f t="shared" si="6"/>
        <v>0</v>
      </c>
      <c r="AB24" s="4"/>
      <c r="AC24" s="13">
        <f>IF(Inställningar!$B$6="",0,Inställningar!$B$6)</f>
        <v>0.15</v>
      </c>
      <c r="AD24" s="10">
        <f t="shared" si="7"/>
        <v>0</v>
      </c>
      <c r="AE24" s="12"/>
    </row>
    <row r="25" spans="1:31">
      <c r="A25" s="7" t="s">
        <v>46</v>
      </c>
      <c r="B25" s="7" t="s">
        <v>205</v>
      </c>
      <c r="C25" s="7" t="s">
        <v>228</v>
      </c>
      <c r="D25" s="7" t="s">
        <v>229</v>
      </c>
      <c r="E25" s="7" t="s">
        <v>230</v>
      </c>
      <c r="F25" s="7" t="s">
        <v>231</v>
      </c>
      <c r="G25" s="8">
        <v>0</v>
      </c>
      <c r="H25" s="9">
        <v>0</v>
      </c>
      <c r="I25" s="7" t="s">
        <v>85</v>
      </c>
      <c r="J25" s="7" t="s">
        <v>85</v>
      </c>
      <c r="K25" s="10">
        <f t="shared" si="0"/>
        <v>0</v>
      </c>
      <c r="L25" s="11">
        <f t="shared" si="1"/>
        <v>0</v>
      </c>
      <c r="M25" s="10">
        <f t="shared" si="2"/>
        <v>0</v>
      </c>
      <c r="N25" s="11">
        <f t="shared" si="3"/>
        <v>0</v>
      </c>
      <c r="O25" s="3" t="s">
        <v>333</v>
      </c>
      <c r="P25" s="3"/>
      <c r="Q25" s="12"/>
      <c r="R25" s="12"/>
      <c r="S25" s="12"/>
      <c r="T25" s="12"/>
      <c r="U25" s="12"/>
      <c r="V25" s="18"/>
      <c r="W25" s="10">
        <f t="shared" si="4"/>
        <v>0</v>
      </c>
      <c r="X25" s="11"/>
      <c r="Y25" s="11">
        <f t="shared" si="5"/>
        <v>0</v>
      </c>
      <c r="Z25" s="10">
        <f>IF(Inställningar!$B$5="",0,Inställningar!$B$5)</f>
        <v>850</v>
      </c>
      <c r="AA25" s="10">
        <f t="shared" si="6"/>
        <v>0</v>
      </c>
      <c r="AB25" s="4"/>
      <c r="AC25" s="13">
        <f>IF(Inställningar!$B$6="",0,Inställningar!$B$6)</f>
        <v>0.15</v>
      </c>
      <c r="AD25" s="10">
        <f t="shared" si="7"/>
        <v>0</v>
      </c>
      <c r="AE25" s="12"/>
    </row>
    <row r="26" spans="1:31">
      <c r="A26" s="7" t="s">
        <v>85</v>
      </c>
      <c r="B26" s="7"/>
      <c r="C26" s="7"/>
      <c r="D26" s="7"/>
      <c r="E26" s="7"/>
      <c r="F26" s="7"/>
      <c r="G26" s="8"/>
      <c r="H26" s="9"/>
      <c r="I26" s="7" t="s">
        <v>85</v>
      </c>
      <c r="J26" s="7" t="s">
        <v>85</v>
      </c>
      <c r="K26" s="10" t="str">
        <f t="shared" si="0"/>
        <v/>
      </c>
      <c r="L26" s="11" t="str">
        <f t="shared" si="1"/>
        <v/>
      </c>
      <c r="M26" s="10" t="str">
        <f t="shared" si="2"/>
        <v/>
      </c>
      <c r="N26" s="11" t="str">
        <f t="shared" si="3"/>
        <v/>
      </c>
      <c r="O26" s="3"/>
      <c r="P26" s="3"/>
      <c r="Q26" s="12"/>
      <c r="R26" s="12"/>
      <c r="S26" s="12"/>
      <c r="T26" s="12"/>
      <c r="U26" s="12"/>
      <c r="V26" s="18"/>
      <c r="W26" s="10">
        <f t="shared" si="4"/>
        <v>0</v>
      </c>
      <c r="X26" s="11"/>
      <c r="Y26" s="11">
        <f t="shared" si="5"/>
        <v>0</v>
      </c>
      <c r="Z26" s="10">
        <f>IF(Inställningar!$B$5="",0,Inställningar!$B$5)</f>
        <v>850</v>
      </c>
      <c r="AA26" s="10">
        <f t="shared" si="6"/>
        <v>0</v>
      </c>
      <c r="AB26" s="4"/>
      <c r="AC26" s="13">
        <f>IF(Inställningar!$B$6="",0,Inställningar!$B$6)</f>
        <v>0.15</v>
      </c>
      <c r="AD26" s="10">
        <f t="shared" si="7"/>
        <v>0</v>
      </c>
      <c r="AE26" s="12"/>
    </row>
    <row r="27" spans="1:31">
      <c r="A27" s="7" t="s">
        <v>85</v>
      </c>
      <c r="B27" s="7"/>
      <c r="C27" s="7"/>
      <c r="D27" s="7"/>
      <c r="E27" s="7"/>
      <c r="F27" s="7"/>
      <c r="G27" s="8"/>
      <c r="H27" s="9"/>
      <c r="I27" s="7" t="s">
        <v>85</v>
      </c>
      <c r="J27" s="7" t="s">
        <v>85</v>
      </c>
      <c r="K27" s="10" t="str">
        <f t="shared" si="0"/>
        <v/>
      </c>
      <c r="L27" s="11" t="str">
        <f t="shared" si="1"/>
        <v/>
      </c>
      <c r="M27" s="10" t="str">
        <f t="shared" si="2"/>
        <v/>
      </c>
      <c r="N27" s="11" t="str">
        <f t="shared" si="3"/>
        <v/>
      </c>
      <c r="O27" s="3"/>
      <c r="P27" s="3"/>
      <c r="Q27" s="12"/>
      <c r="R27" s="12"/>
      <c r="S27" s="12"/>
      <c r="T27" s="12"/>
      <c r="U27" s="12"/>
      <c r="V27" s="18"/>
      <c r="W27" s="10">
        <f t="shared" si="4"/>
        <v>0</v>
      </c>
      <c r="X27" s="11"/>
      <c r="Y27" s="11">
        <f t="shared" si="5"/>
        <v>0</v>
      </c>
      <c r="Z27" s="10">
        <f>IF(Inställningar!$B$5="",0,Inställningar!$B$5)</f>
        <v>850</v>
      </c>
      <c r="AA27" s="10">
        <f t="shared" si="6"/>
        <v>0</v>
      </c>
      <c r="AB27" s="4"/>
      <c r="AC27" s="13">
        <f>IF(Inställningar!$B$6="",0,Inställningar!$B$6)</f>
        <v>0.15</v>
      </c>
      <c r="AD27" s="10">
        <f t="shared" si="7"/>
        <v>0</v>
      </c>
      <c r="AE27" s="12"/>
    </row>
    <row r="28" spans="1:31">
      <c r="A28" s="7" t="s">
        <v>85</v>
      </c>
      <c r="B28" s="7"/>
      <c r="C28" s="7"/>
      <c r="D28" s="7"/>
      <c r="E28" s="7"/>
      <c r="F28" s="7"/>
      <c r="G28" s="8"/>
      <c r="H28" s="9"/>
      <c r="I28" s="7" t="s">
        <v>85</v>
      </c>
      <c r="J28" s="7" t="s">
        <v>85</v>
      </c>
      <c r="K28" s="10" t="str">
        <f t="shared" si="0"/>
        <v/>
      </c>
      <c r="L28" s="11" t="str">
        <f t="shared" si="1"/>
        <v/>
      </c>
      <c r="M28" s="10" t="str">
        <f t="shared" si="2"/>
        <v/>
      </c>
      <c r="N28" s="11" t="str">
        <f t="shared" si="3"/>
        <v/>
      </c>
      <c r="O28" s="3"/>
      <c r="P28" s="3"/>
      <c r="Q28" s="12"/>
      <c r="R28" s="12"/>
      <c r="S28" s="12"/>
      <c r="T28" s="12"/>
      <c r="U28" s="12"/>
      <c r="V28" s="18"/>
      <c r="W28" s="10">
        <f t="shared" si="4"/>
        <v>0</v>
      </c>
      <c r="X28" s="11"/>
      <c r="Y28" s="11">
        <f t="shared" si="5"/>
        <v>0</v>
      </c>
      <c r="Z28" s="10">
        <f>IF(Inställningar!$B$5="",0,Inställningar!$B$5)</f>
        <v>850</v>
      </c>
      <c r="AA28" s="10">
        <f t="shared" si="6"/>
        <v>0</v>
      </c>
      <c r="AB28" s="4"/>
      <c r="AC28" s="13">
        <f>IF(Inställningar!$B$6="",0,Inställningar!$B$6)</f>
        <v>0.15</v>
      </c>
      <c r="AD28" s="10">
        <f t="shared" si="7"/>
        <v>0</v>
      </c>
      <c r="AE28" s="12"/>
    </row>
    <row r="29" spans="1:31">
      <c r="A29" s="7" t="s">
        <v>85</v>
      </c>
      <c r="B29" s="7"/>
      <c r="C29" s="7"/>
      <c r="D29" s="7"/>
      <c r="E29" s="7"/>
      <c r="F29" s="7"/>
      <c r="G29" s="8"/>
      <c r="H29" s="9"/>
      <c r="I29" s="7" t="s">
        <v>85</v>
      </c>
      <c r="J29" s="7" t="s">
        <v>85</v>
      </c>
      <c r="K29" s="10" t="str">
        <f t="shared" si="0"/>
        <v/>
      </c>
      <c r="L29" s="11" t="str">
        <f t="shared" si="1"/>
        <v/>
      </c>
      <c r="M29" s="10" t="str">
        <f t="shared" si="2"/>
        <v/>
      </c>
      <c r="N29" s="11" t="str">
        <f t="shared" si="3"/>
        <v/>
      </c>
      <c r="O29" s="3"/>
      <c r="P29" s="3"/>
      <c r="Q29" s="12"/>
      <c r="R29" s="12"/>
      <c r="S29" s="12"/>
      <c r="T29" s="12"/>
      <c r="U29" s="12"/>
      <c r="V29" s="18"/>
      <c r="W29" s="10">
        <f t="shared" si="4"/>
        <v>0</v>
      </c>
      <c r="X29" s="11"/>
      <c r="Y29" s="11">
        <f t="shared" si="5"/>
        <v>0</v>
      </c>
      <c r="Z29" s="10">
        <f>IF(Inställningar!$B$5="",0,Inställningar!$B$5)</f>
        <v>850</v>
      </c>
      <c r="AA29" s="10">
        <f t="shared" si="6"/>
        <v>0</v>
      </c>
      <c r="AB29" s="4"/>
      <c r="AC29" s="13">
        <f>IF(Inställningar!$B$6="",0,Inställningar!$B$6)</f>
        <v>0.15</v>
      </c>
      <c r="AD29" s="10">
        <f t="shared" si="7"/>
        <v>0</v>
      </c>
      <c r="AE29" s="12"/>
    </row>
    <row r="30" spans="1:31">
      <c r="A30" s="7" t="s">
        <v>85</v>
      </c>
      <c r="B30" s="7"/>
      <c r="C30" s="7"/>
      <c r="D30" s="7"/>
      <c r="E30" s="7"/>
      <c r="F30" s="7"/>
      <c r="G30" s="8"/>
      <c r="H30" s="9"/>
      <c r="I30" s="7" t="s">
        <v>85</v>
      </c>
      <c r="J30" s="7" t="s">
        <v>85</v>
      </c>
      <c r="K30" s="10" t="str">
        <f t="shared" si="0"/>
        <v/>
      </c>
      <c r="L30" s="11" t="str">
        <f t="shared" si="1"/>
        <v/>
      </c>
      <c r="M30" s="10" t="str">
        <f t="shared" si="2"/>
        <v/>
      </c>
      <c r="N30" s="11" t="str">
        <f t="shared" si="3"/>
        <v/>
      </c>
      <c r="O30" s="3"/>
      <c r="P30" s="3"/>
      <c r="Q30" s="12"/>
      <c r="R30" s="12"/>
      <c r="S30" s="12"/>
      <c r="T30" s="12"/>
      <c r="U30" s="12"/>
      <c r="V30" s="18"/>
      <c r="W30" s="10">
        <f t="shared" si="4"/>
        <v>0</v>
      </c>
      <c r="X30" s="11"/>
      <c r="Y30" s="11">
        <f t="shared" si="5"/>
        <v>0</v>
      </c>
      <c r="Z30" s="10">
        <f>IF(Inställningar!$B$5="",0,Inställningar!$B$5)</f>
        <v>850</v>
      </c>
      <c r="AA30" s="10">
        <f t="shared" si="6"/>
        <v>0</v>
      </c>
      <c r="AB30" s="4"/>
      <c r="AC30" s="13">
        <f>IF(Inställningar!$B$6="",0,Inställningar!$B$6)</f>
        <v>0.15</v>
      </c>
      <c r="AD30" s="10">
        <f t="shared" si="7"/>
        <v>0</v>
      </c>
      <c r="AE30" s="12"/>
    </row>
    <row r="31" spans="1:31">
      <c r="A31" s="7" t="s">
        <v>85</v>
      </c>
      <c r="B31" s="7"/>
      <c r="C31" s="7"/>
      <c r="D31" s="7"/>
      <c r="E31" s="7"/>
      <c r="F31" s="7"/>
      <c r="G31" s="8"/>
      <c r="H31" s="9"/>
      <c r="I31" s="7" t="s">
        <v>85</v>
      </c>
      <c r="J31" s="7" t="s">
        <v>85</v>
      </c>
      <c r="K31" s="10" t="str">
        <f t="shared" si="0"/>
        <v/>
      </c>
      <c r="L31" s="11" t="str">
        <f t="shared" si="1"/>
        <v/>
      </c>
      <c r="M31" s="10" t="str">
        <f t="shared" si="2"/>
        <v/>
      </c>
      <c r="N31" s="11" t="str">
        <f t="shared" si="3"/>
        <v/>
      </c>
      <c r="O31" s="3"/>
      <c r="P31" s="3"/>
      <c r="Q31" s="12"/>
      <c r="R31" s="12"/>
      <c r="S31" s="12"/>
      <c r="T31" s="12"/>
      <c r="U31" s="12"/>
      <c r="V31" s="18"/>
      <c r="W31" s="10">
        <f t="shared" si="4"/>
        <v>0</v>
      </c>
      <c r="X31" s="11"/>
      <c r="Y31" s="11">
        <f t="shared" si="5"/>
        <v>0</v>
      </c>
      <c r="Z31" s="10">
        <f>IF(Inställningar!$B$5="",0,Inställningar!$B$5)</f>
        <v>850</v>
      </c>
      <c r="AA31" s="10">
        <f t="shared" si="6"/>
        <v>0</v>
      </c>
      <c r="AB31" s="4"/>
      <c r="AC31" s="13">
        <f>IF(Inställningar!$B$6="",0,Inställningar!$B$6)</f>
        <v>0.15</v>
      </c>
      <c r="AD31" s="10">
        <f t="shared" si="7"/>
        <v>0</v>
      </c>
      <c r="AE31" s="12"/>
    </row>
    <row r="32" spans="1:31">
      <c r="A32" s="7" t="s">
        <v>85</v>
      </c>
      <c r="B32" s="7"/>
      <c r="C32" s="7"/>
      <c r="D32" s="7"/>
      <c r="E32" s="7"/>
      <c r="F32" s="7"/>
      <c r="G32" s="8"/>
      <c r="H32" s="9"/>
      <c r="I32" s="7" t="s">
        <v>85</v>
      </c>
      <c r="J32" s="7" t="s">
        <v>85</v>
      </c>
      <c r="K32" s="10" t="str">
        <f t="shared" si="0"/>
        <v/>
      </c>
      <c r="L32" s="11" t="str">
        <f t="shared" si="1"/>
        <v/>
      </c>
      <c r="M32" s="10" t="str">
        <f t="shared" si="2"/>
        <v/>
      </c>
      <c r="N32" s="11" t="str">
        <f t="shared" si="3"/>
        <v/>
      </c>
      <c r="O32" s="3"/>
      <c r="P32" s="3"/>
      <c r="Q32" s="12"/>
      <c r="R32" s="12"/>
      <c r="S32" s="12"/>
      <c r="T32" s="12"/>
      <c r="U32" s="12"/>
      <c r="V32" s="18"/>
      <c r="W32" s="10">
        <f t="shared" si="4"/>
        <v>0</v>
      </c>
      <c r="X32" s="11"/>
      <c r="Y32" s="11">
        <f t="shared" si="5"/>
        <v>0</v>
      </c>
      <c r="Z32" s="10">
        <f>IF(Inställningar!$B$5="",0,Inställningar!$B$5)</f>
        <v>850</v>
      </c>
      <c r="AA32" s="10">
        <f t="shared" si="6"/>
        <v>0</v>
      </c>
      <c r="AB32" s="4"/>
      <c r="AC32" s="13">
        <f>IF(Inställningar!$B$6="",0,Inställningar!$B$6)</f>
        <v>0.15</v>
      </c>
      <c r="AD32" s="10">
        <f t="shared" si="7"/>
        <v>0</v>
      </c>
      <c r="AE32" s="12"/>
    </row>
    <row r="33" spans="1:31">
      <c r="A33" s="7" t="s">
        <v>85</v>
      </c>
      <c r="B33" s="7"/>
      <c r="C33" s="7"/>
      <c r="D33" s="7"/>
      <c r="E33" s="7"/>
      <c r="F33" s="7"/>
      <c r="G33" s="8"/>
      <c r="H33" s="9"/>
      <c r="I33" s="7" t="s">
        <v>85</v>
      </c>
      <c r="J33" s="7" t="s">
        <v>85</v>
      </c>
      <c r="K33" s="10" t="str">
        <f t="shared" si="0"/>
        <v/>
      </c>
      <c r="L33" s="11" t="str">
        <f t="shared" si="1"/>
        <v/>
      </c>
      <c r="M33" s="10" t="str">
        <f t="shared" si="2"/>
        <v/>
      </c>
      <c r="N33" s="11" t="str">
        <f t="shared" si="3"/>
        <v/>
      </c>
      <c r="O33" s="3"/>
      <c r="P33" s="3"/>
      <c r="Q33" s="12"/>
      <c r="R33" s="12"/>
      <c r="S33" s="12"/>
      <c r="T33" s="12"/>
      <c r="U33" s="12"/>
      <c r="V33" s="18"/>
      <c r="W33" s="10">
        <f t="shared" si="4"/>
        <v>0</v>
      </c>
      <c r="X33" s="11"/>
      <c r="Y33" s="11">
        <f t="shared" si="5"/>
        <v>0</v>
      </c>
      <c r="Z33" s="10">
        <f>IF(Inställningar!$B$5="",0,Inställningar!$B$5)</f>
        <v>850</v>
      </c>
      <c r="AA33" s="10">
        <f t="shared" si="6"/>
        <v>0</v>
      </c>
      <c r="AB33" s="4"/>
      <c r="AC33" s="13">
        <f>IF(Inställningar!$B$6="",0,Inställningar!$B$6)</f>
        <v>0.15</v>
      </c>
      <c r="AD33" s="10">
        <f t="shared" si="7"/>
        <v>0</v>
      </c>
      <c r="AE33" s="12"/>
    </row>
    <row r="34" spans="1:31">
      <c r="A34" s="7" t="s">
        <v>85</v>
      </c>
      <c r="B34" s="7"/>
      <c r="C34" s="7"/>
      <c r="D34" s="7"/>
      <c r="E34" s="7"/>
      <c r="F34" s="7"/>
      <c r="G34" s="8"/>
      <c r="H34" s="9"/>
      <c r="I34" s="7" t="s">
        <v>85</v>
      </c>
      <c r="J34" s="7" t="s">
        <v>85</v>
      </c>
      <c r="K34" s="10" t="str">
        <f t="shared" si="0"/>
        <v/>
      </c>
      <c r="L34" s="11" t="str">
        <f t="shared" si="1"/>
        <v/>
      </c>
      <c r="M34" s="10" t="str">
        <f t="shared" si="2"/>
        <v/>
      </c>
      <c r="N34" s="11" t="str">
        <f t="shared" si="3"/>
        <v/>
      </c>
      <c r="O34" s="3"/>
      <c r="P34" s="3"/>
      <c r="Q34" s="12"/>
      <c r="R34" s="12"/>
      <c r="S34" s="12"/>
      <c r="T34" s="12"/>
      <c r="U34" s="12"/>
      <c r="V34" s="18"/>
      <c r="W34" s="10">
        <f t="shared" si="4"/>
        <v>0</v>
      </c>
      <c r="X34" s="11"/>
      <c r="Y34" s="11">
        <f t="shared" si="5"/>
        <v>0</v>
      </c>
      <c r="Z34" s="10">
        <f>IF(Inställningar!$B$5="",0,Inställningar!$B$5)</f>
        <v>850</v>
      </c>
      <c r="AA34" s="10">
        <f t="shared" si="6"/>
        <v>0</v>
      </c>
      <c r="AB34" s="4"/>
      <c r="AC34" s="13">
        <f>IF(Inställningar!$B$6="",0,Inställningar!$B$6)</f>
        <v>0.15</v>
      </c>
      <c r="AD34" s="10">
        <f t="shared" si="7"/>
        <v>0</v>
      </c>
      <c r="AE34" s="12"/>
    </row>
    <row r="35" spans="1:31">
      <c r="A35" s="7" t="s">
        <v>85</v>
      </c>
      <c r="B35" s="7"/>
      <c r="C35" s="7"/>
      <c r="D35" s="7"/>
      <c r="E35" s="7"/>
      <c r="F35" s="7"/>
      <c r="G35" s="8"/>
      <c r="H35" s="9"/>
      <c r="I35" s="7" t="s">
        <v>85</v>
      </c>
      <c r="J35" s="7" t="s">
        <v>85</v>
      </c>
      <c r="K35" s="10" t="str">
        <f t="shared" si="0"/>
        <v/>
      </c>
      <c r="L35" s="11" t="str">
        <f t="shared" si="1"/>
        <v/>
      </c>
      <c r="M35" s="10" t="str">
        <f t="shared" si="2"/>
        <v/>
      </c>
      <c r="N35" s="11" t="str">
        <f t="shared" si="3"/>
        <v/>
      </c>
      <c r="O35" s="3"/>
      <c r="P35" s="3"/>
      <c r="Q35" s="12"/>
      <c r="R35" s="12"/>
      <c r="S35" s="12"/>
      <c r="T35" s="12"/>
      <c r="U35" s="12"/>
      <c r="V35" s="18"/>
      <c r="W35" s="10">
        <f t="shared" si="4"/>
        <v>0</v>
      </c>
      <c r="X35" s="11"/>
      <c r="Y35" s="11">
        <f t="shared" si="5"/>
        <v>0</v>
      </c>
      <c r="Z35" s="10">
        <f>IF(Inställningar!$B$5="",0,Inställningar!$B$5)</f>
        <v>850</v>
      </c>
      <c r="AA35" s="10">
        <f t="shared" si="6"/>
        <v>0</v>
      </c>
      <c r="AB35" s="4"/>
      <c r="AC35" s="13">
        <f>IF(Inställningar!$B$6="",0,Inställningar!$B$6)</f>
        <v>0.15</v>
      </c>
      <c r="AD35" s="10">
        <f t="shared" si="7"/>
        <v>0</v>
      </c>
      <c r="AE35" s="12"/>
    </row>
    <row r="36" spans="1:31">
      <c r="A36" s="7" t="s">
        <v>85</v>
      </c>
      <c r="B36" s="7"/>
      <c r="C36" s="7"/>
      <c r="D36" s="7"/>
      <c r="E36" s="7"/>
      <c r="F36" s="7"/>
      <c r="G36" s="8"/>
      <c r="H36" s="9"/>
      <c r="I36" s="7" t="s">
        <v>85</v>
      </c>
      <c r="J36" s="7" t="s">
        <v>85</v>
      </c>
      <c r="K36" s="10" t="str">
        <f t="shared" si="0"/>
        <v/>
      </c>
      <c r="L36" s="11" t="str">
        <f t="shared" si="1"/>
        <v/>
      </c>
      <c r="M36" s="10" t="str">
        <f t="shared" si="2"/>
        <v/>
      </c>
      <c r="N36" s="11" t="str">
        <f t="shared" si="3"/>
        <v/>
      </c>
      <c r="O36" s="3"/>
      <c r="P36" s="3"/>
      <c r="Q36" s="12"/>
      <c r="R36" s="12"/>
      <c r="S36" s="12"/>
      <c r="T36" s="12"/>
      <c r="U36" s="12"/>
      <c r="V36" s="18"/>
      <c r="W36" s="10">
        <f t="shared" si="4"/>
        <v>0</v>
      </c>
      <c r="X36" s="11"/>
      <c r="Y36" s="11">
        <f t="shared" si="5"/>
        <v>0</v>
      </c>
      <c r="Z36" s="10">
        <f>IF(Inställningar!$B$5="",0,Inställningar!$B$5)</f>
        <v>850</v>
      </c>
      <c r="AA36" s="10">
        <f t="shared" si="6"/>
        <v>0</v>
      </c>
      <c r="AB36" s="4"/>
      <c r="AC36" s="13">
        <f>IF(Inställningar!$B$6="",0,Inställningar!$B$6)</f>
        <v>0.15</v>
      </c>
      <c r="AD36" s="10">
        <f t="shared" si="7"/>
        <v>0</v>
      </c>
      <c r="AE36" s="12"/>
    </row>
    <row r="37" spans="1:31">
      <c r="A37" s="7" t="s">
        <v>85</v>
      </c>
      <c r="B37" s="7"/>
      <c r="C37" s="7"/>
      <c r="D37" s="7"/>
      <c r="E37" s="7"/>
      <c r="F37" s="7"/>
      <c r="G37" s="8"/>
      <c r="H37" s="9"/>
      <c r="I37" s="7" t="s">
        <v>85</v>
      </c>
      <c r="J37" s="7" t="s">
        <v>85</v>
      </c>
      <c r="K37" s="10" t="str">
        <f t="shared" si="0"/>
        <v/>
      </c>
      <c r="L37" s="11" t="str">
        <f t="shared" si="1"/>
        <v/>
      </c>
      <c r="M37" s="10" t="str">
        <f t="shared" si="2"/>
        <v/>
      </c>
      <c r="N37" s="11" t="str">
        <f t="shared" si="3"/>
        <v/>
      </c>
      <c r="O37" s="3"/>
      <c r="P37" s="3"/>
      <c r="Q37" s="12"/>
      <c r="R37" s="12"/>
      <c r="S37" s="12"/>
      <c r="T37" s="12"/>
      <c r="U37" s="12"/>
      <c r="V37" s="18"/>
      <c r="W37" s="10">
        <f t="shared" si="4"/>
        <v>0</v>
      </c>
      <c r="X37" s="11"/>
      <c r="Y37" s="11">
        <f t="shared" si="5"/>
        <v>0</v>
      </c>
      <c r="Z37" s="10">
        <f>IF(Inställningar!$B$5="",0,Inställningar!$B$5)</f>
        <v>850</v>
      </c>
      <c r="AA37" s="10">
        <f t="shared" si="6"/>
        <v>0</v>
      </c>
      <c r="AB37" s="4"/>
      <c r="AC37" s="13">
        <f>IF(Inställningar!$B$6="",0,Inställningar!$B$6)</f>
        <v>0.15</v>
      </c>
      <c r="AD37" s="10">
        <f t="shared" si="7"/>
        <v>0</v>
      </c>
      <c r="AE37" s="12"/>
    </row>
    <row r="38" spans="1:31">
      <c r="A38" s="7" t="s">
        <v>85</v>
      </c>
      <c r="B38" s="7"/>
      <c r="C38" s="7"/>
      <c r="D38" s="7"/>
      <c r="E38" s="7"/>
      <c r="F38" s="7"/>
      <c r="G38" s="8"/>
      <c r="H38" s="9"/>
      <c r="I38" s="7" t="s">
        <v>85</v>
      </c>
      <c r="J38" s="7" t="s">
        <v>85</v>
      </c>
      <c r="K38" s="10" t="str">
        <f t="shared" si="0"/>
        <v/>
      </c>
      <c r="L38" s="11" t="str">
        <f t="shared" si="1"/>
        <v/>
      </c>
      <c r="M38" s="10" t="str">
        <f t="shared" si="2"/>
        <v/>
      </c>
      <c r="N38" s="11" t="str">
        <f t="shared" si="3"/>
        <v/>
      </c>
      <c r="O38" s="3"/>
      <c r="P38" s="3"/>
      <c r="Q38" s="12"/>
      <c r="R38" s="12"/>
      <c r="S38" s="12"/>
      <c r="T38" s="12"/>
      <c r="U38" s="12"/>
      <c r="V38" s="18"/>
      <c r="W38" s="10">
        <f t="shared" si="4"/>
        <v>0</v>
      </c>
      <c r="X38" s="11"/>
      <c r="Y38" s="11">
        <f t="shared" si="5"/>
        <v>0</v>
      </c>
      <c r="Z38" s="10">
        <f>IF(Inställningar!$B$5="",0,Inställningar!$B$5)</f>
        <v>850</v>
      </c>
      <c r="AA38" s="10">
        <f t="shared" si="6"/>
        <v>0</v>
      </c>
      <c r="AB38" s="4"/>
      <c r="AC38" s="13">
        <f>IF(Inställningar!$B$6="",0,Inställningar!$B$6)</f>
        <v>0.15</v>
      </c>
      <c r="AD38" s="10">
        <f t="shared" si="7"/>
        <v>0</v>
      </c>
      <c r="AE38" s="12"/>
    </row>
    <row r="39" spans="1:31">
      <c r="A39" s="7" t="s">
        <v>85</v>
      </c>
      <c r="B39" s="7"/>
      <c r="C39" s="7"/>
      <c r="D39" s="7"/>
      <c r="E39" s="7"/>
      <c r="F39" s="7"/>
      <c r="G39" s="8"/>
      <c r="H39" s="9"/>
      <c r="I39" s="7" t="s">
        <v>85</v>
      </c>
      <c r="J39" s="7" t="s">
        <v>85</v>
      </c>
      <c r="K39" s="10" t="str">
        <f t="shared" si="0"/>
        <v/>
      </c>
      <c r="L39" s="11" t="str">
        <f t="shared" si="1"/>
        <v/>
      </c>
      <c r="M39" s="10" t="str">
        <f t="shared" si="2"/>
        <v/>
      </c>
      <c r="N39" s="11" t="str">
        <f t="shared" si="3"/>
        <v/>
      </c>
      <c r="O39" s="3"/>
      <c r="P39" s="3"/>
      <c r="Q39" s="12"/>
      <c r="R39" s="12"/>
      <c r="S39" s="12"/>
      <c r="T39" s="12"/>
      <c r="U39" s="12"/>
      <c r="V39" s="18"/>
      <c r="W39" s="10">
        <f t="shared" ref="W39:W70" si="8">IF(OR(T39="",V39=""),0,T39*V39)</f>
        <v>0</v>
      </c>
      <c r="X39" s="11"/>
      <c r="Y39" s="11">
        <f t="shared" ref="Y39:Y70" si="9">IF(OR(T39="",X39=""),0,T39*X39)</f>
        <v>0</v>
      </c>
      <c r="Z39" s="10">
        <f>IF(Inställningar!$B$5="",0,Inställningar!$B$5)</f>
        <v>850</v>
      </c>
      <c r="AA39" s="10">
        <f t="shared" ref="AA39:AA70" si="10">Y39*Z39</f>
        <v>0</v>
      </c>
      <c r="AB39" s="4"/>
      <c r="AC39" s="13">
        <f>IF(Inställningar!$B$6="",0,Inställningar!$B$6)</f>
        <v>0.15</v>
      </c>
      <c r="AD39" s="10">
        <f t="shared" ref="AD39:AD70" si="11">ROUND((W39+AA39+IF(AB39="",0,AB39))*(1+AC39),0)</f>
        <v>0</v>
      </c>
      <c r="AE39" s="12"/>
    </row>
    <row r="40" spans="1:31">
      <c r="A40" s="7" t="s">
        <v>85</v>
      </c>
      <c r="B40" s="7"/>
      <c r="C40" s="7"/>
      <c r="D40" s="7"/>
      <c r="E40" s="7"/>
      <c r="F40" s="7"/>
      <c r="G40" s="8"/>
      <c r="H40" s="9"/>
      <c r="I40" s="7" t="s">
        <v>85</v>
      </c>
      <c r="J40" s="7" t="s">
        <v>85</v>
      </c>
      <c r="K40" s="10" t="str">
        <f t="shared" si="0"/>
        <v/>
      </c>
      <c r="L40" s="11" t="str">
        <f t="shared" si="1"/>
        <v/>
      </c>
      <c r="M40" s="10" t="str">
        <f t="shared" si="2"/>
        <v/>
      </c>
      <c r="N40" s="11" t="str">
        <f t="shared" si="3"/>
        <v/>
      </c>
      <c r="O40" s="3"/>
      <c r="P40" s="3"/>
      <c r="Q40" s="12"/>
      <c r="R40" s="12"/>
      <c r="S40" s="12"/>
      <c r="T40" s="12"/>
      <c r="U40" s="12"/>
      <c r="V40" s="18"/>
      <c r="W40" s="10">
        <f t="shared" si="8"/>
        <v>0</v>
      </c>
      <c r="X40" s="11"/>
      <c r="Y40" s="11">
        <f t="shared" si="9"/>
        <v>0</v>
      </c>
      <c r="Z40" s="10">
        <f>IF(Inställningar!$B$5="",0,Inställningar!$B$5)</f>
        <v>850</v>
      </c>
      <c r="AA40" s="10">
        <f t="shared" si="10"/>
        <v>0</v>
      </c>
      <c r="AB40" s="4"/>
      <c r="AC40" s="13">
        <f>IF(Inställningar!$B$6="",0,Inställningar!$B$6)</f>
        <v>0.15</v>
      </c>
      <c r="AD40" s="10">
        <f t="shared" si="11"/>
        <v>0</v>
      </c>
      <c r="AE40" s="12"/>
    </row>
    <row r="41" spans="1:31">
      <c r="A41" s="7" t="s">
        <v>85</v>
      </c>
      <c r="B41" s="7"/>
      <c r="C41" s="7"/>
      <c r="D41" s="7"/>
      <c r="E41" s="7"/>
      <c r="F41" s="7"/>
      <c r="G41" s="8"/>
      <c r="H41" s="9"/>
      <c r="I41" s="7" t="s">
        <v>85</v>
      </c>
      <c r="J41" s="7" t="s">
        <v>85</v>
      </c>
      <c r="K41" s="10" t="str">
        <f t="shared" si="0"/>
        <v/>
      </c>
      <c r="L41" s="11" t="str">
        <f t="shared" si="1"/>
        <v/>
      </c>
      <c r="M41" s="10" t="str">
        <f t="shared" si="2"/>
        <v/>
      </c>
      <c r="N41" s="11" t="str">
        <f t="shared" si="3"/>
        <v/>
      </c>
      <c r="O41" s="3"/>
      <c r="P41" s="3"/>
      <c r="Q41" s="12"/>
      <c r="R41" s="12"/>
      <c r="S41" s="12"/>
      <c r="T41" s="12"/>
      <c r="U41" s="12"/>
      <c r="V41" s="18"/>
      <c r="W41" s="10">
        <f t="shared" si="8"/>
        <v>0</v>
      </c>
      <c r="X41" s="11"/>
      <c r="Y41" s="11">
        <f t="shared" si="9"/>
        <v>0</v>
      </c>
      <c r="Z41" s="10">
        <f>IF(Inställningar!$B$5="",0,Inställningar!$B$5)</f>
        <v>850</v>
      </c>
      <c r="AA41" s="10">
        <f t="shared" si="10"/>
        <v>0</v>
      </c>
      <c r="AB41" s="4"/>
      <c r="AC41" s="13">
        <f>IF(Inställningar!$B$6="",0,Inställningar!$B$6)</f>
        <v>0.15</v>
      </c>
      <c r="AD41" s="10">
        <f t="shared" si="11"/>
        <v>0</v>
      </c>
      <c r="AE41" s="12"/>
    </row>
    <row r="42" spans="1:31">
      <c r="A42" s="7" t="s">
        <v>85</v>
      </c>
      <c r="B42" s="7"/>
      <c r="C42" s="7"/>
      <c r="D42" s="7"/>
      <c r="E42" s="7"/>
      <c r="F42" s="7"/>
      <c r="G42" s="8"/>
      <c r="H42" s="9"/>
      <c r="I42" s="7" t="s">
        <v>85</v>
      </c>
      <c r="J42" s="7" t="s">
        <v>85</v>
      </c>
      <c r="K42" s="10" t="str">
        <f t="shared" si="0"/>
        <v/>
      </c>
      <c r="L42" s="11" t="str">
        <f t="shared" si="1"/>
        <v/>
      </c>
      <c r="M42" s="10" t="str">
        <f t="shared" si="2"/>
        <v/>
      </c>
      <c r="N42" s="11" t="str">
        <f t="shared" si="3"/>
        <v/>
      </c>
      <c r="O42" s="3"/>
      <c r="P42" s="3"/>
      <c r="Q42" s="12"/>
      <c r="R42" s="12"/>
      <c r="S42" s="12"/>
      <c r="T42" s="12"/>
      <c r="U42" s="12"/>
      <c r="V42" s="18"/>
      <c r="W42" s="10">
        <f t="shared" si="8"/>
        <v>0</v>
      </c>
      <c r="X42" s="11"/>
      <c r="Y42" s="11">
        <f t="shared" si="9"/>
        <v>0</v>
      </c>
      <c r="Z42" s="10">
        <f>IF(Inställningar!$B$5="",0,Inställningar!$B$5)</f>
        <v>850</v>
      </c>
      <c r="AA42" s="10">
        <f t="shared" si="10"/>
        <v>0</v>
      </c>
      <c r="AB42" s="4"/>
      <c r="AC42" s="13">
        <f>IF(Inställningar!$B$6="",0,Inställningar!$B$6)</f>
        <v>0.15</v>
      </c>
      <c r="AD42" s="10">
        <f t="shared" si="11"/>
        <v>0</v>
      </c>
      <c r="AE42" s="12"/>
    </row>
    <row r="43" spans="1:31">
      <c r="A43" s="7" t="s">
        <v>85</v>
      </c>
      <c r="B43" s="7"/>
      <c r="C43" s="7"/>
      <c r="D43" s="7"/>
      <c r="E43" s="7"/>
      <c r="F43" s="7"/>
      <c r="G43" s="8"/>
      <c r="H43" s="9"/>
      <c r="I43" s="7" t="s">
        <v>85</v>
      </c>
      <c r="J43" s="7" t="s">
        <v>85</v>
      </c>
      <c r="K43" s="10" t="str">
        <f t="shared" si="0"/>
        <v/>
      </c>
      <c r="L43" s="11" t="str">
        <f t="shared" si="1"/>
        <v/>
      </c>
      <c r="M43" s="10" t="str">
        <f t="shared" si="2"/>
        <v/>
      </c>
      <c r="N43" s="11" t="str">
        <f t="shared" si="3"/>
        <v/>
      </c>
      <c r="O43" s="3"/>
      <c r="P43" s="3"/>
      <c r="Q43" s="12"/>
      <c r="R43" s="12"/>
      <c r="S43" s="12"/>
      <c r="T43" s="12"/>
      <c r="U43" s="12"/>
      <c r="V43" s="18"/>
      <c r="W43" s="10">
        <f t="shared" si="8"/>
        <v>0</v>
      </c>
      <c r="X43" s="11"/>
      <c r="Y43" s="11">
        <f t="shared" si="9"/>
        <v>0</v>
      </c>
      <c r="Z43" s="10">
        <f>IF(Inställningar!$B$5="",0,Inställningar!$B$5)</f>
        <v>850</v>
      </c>
      <c r="AA43" s="10">
        <f t="shared" si="10"/>
        <v>0</v>
      </c>
      <c r="AB43" s="4"/>
      <c r="AC43" s="13">
        <f>IF(Inställningar!$B$6="",0,Inställningar!$B$6)</f>
        <v>0.15</v>
      </c>
      <c r="AD43" s="10">
        <f t="shared" si="11"/>
        <v>0</v>
      </c>
      <c r="AE43" s="12"/>
    </row>
    <row r="44" spans="1:31">
      <c r="A44" s="7" t="s">
        <v>85</v>
      </c>
      <c r="B44" s="7"/>
      <c r="C44" s="7"/>
      <c r="D44" s="7"/>
      <c r="E44" s="7"/>
      <c r="F44" s="7"/>
      <c r="G44" s="8"/>
      <c r="H44" s="9"/>
      <c r="I44" s="7" t="s">
        <v>85</v>
      </c>
      <c r="J44" s="7" t="s">
        <v>85</v>
      </c>
      <c r="K44" s="10" t="str">
        <f t="shared" si="0"/>
        <v/>
      </c>
      <c r="L44" s="11" t="str">
        <f t="shared" si="1"/>
        <v/>
      </c>
      <c r="M44" s="10" t="str">
        <f t="shared" si="2"/>
        <v/>
      </c>
      <c r="N44" s="11" t="str">
        <f t="shared" si="3"/>
        <v/>
      </c>
      <c r="O44" s="3"/>
      <c r="P44" s="3"/>
      <c r="Q44" s="12"/>
      <c r="R44" s="12"/>
      <c r="S44" s="12"/>
      <c r="T44" s="12"/>
      <c r="U44" s="12"/>
      <c r="V44" s="18"/>
      <c r="W44" s="10">
        <f t="shared" si="8"/>
        <v>0</v>
      </c>
      <c r="X44" s="11"/>
      <c r="Y44" s="11">
        <f t="shared" si="9"/>
        <v>0</v>
      </c>
      <c r="Z44" s="10">
        <f>IF(Inställningar!$B$5="",0,Inställningar!$B$5)</f>
        <v>850</v>
      </c>
      <c r="AA44" s="10">
        <f t="shared" si="10"/>
        <v>0</v>
      </c>
      <c r="AB44" s="4"/>
      <c r="AC44" s="13">
        <f>IF(Inställningar!$B$6="",0,Inställningar!$B$6)</f>
        <v>0.15</v>
      </c>
      <c r="AD44" s="10">
        <f t="shared" si="11"/>
        <v>0</v>
      </c>
      <c r="AE44" s="12"/>
    </row>
    <row r="45" spans="1:31">
      <c r="A45" s="7" t="s">
        <v>85</v>
      </c>
      <c r="B45" s="7"/>
      <c r="C45" s="7"/>
      <c r="D45" s="7"/>
      <c r="E45" s="7"/>
      <c r="F45" s="7"/>
      <c r="G45" s="8"/>
      <c r="H45" s="9"/>
      <c r="I45" s="7" t="s">
        <v>85</v>
      </c>
      <c r="J45" s="7" t="s">
        <v>85</v>
      </c>
      <c r="K45" s="10" t="str">
        <f t="shared" si="0"/>
        <v/>
      </c>
      <c r="L45" s="11" t="str">
        <f t="shared" si="1"/>
        <v/>
      </c>
      <c r="M45" s="10" t="str">
        <f t="shared" si="2"/>
        <v/>
      </c>
      <c r="N45" s="11" t="str">
        <f t="shared" si="3"/>
        <v/>
      </c>
      <c r="O45" s="3"/>
      <c r="P45" s="3"/>
      <c r="Q45" s="12"/>
      <c r="R45" s="12"/>
      <c r="S45" s="12"/>
      <c r="T45" s="12"/>
      <c r="U45" s="12"/>
      <c r="V45" s="18"/>
      <c r="W45" s="10">
        <f t="shared" si="8"/>
        <v>0</v>
      </c>
      <c r="X45" s="11"/>
      <c r="Y45" s="11">
        <f t="shared" si="9"/>
        <v>0</v>
      </c>
      <c r="Z45" s="10">
        <f>IF(Inställningar!$B$5="",0,Inställningar!$B$5)</f>
        <v>850</v>
      </c>
      <c r="AA45" s="10">
        <f t="shared" si="10"/>
        <v>0</v>
      </c>
      <c r="AB45" s="4"/>
      <c r="AC45" s="13">
        <f>IF(Inställningar!$B$6="",0,Inställningar!$B$6)</f>
        <v>0.15</v>
      </c>
      <c r="AD45" s="10">
        <f t="shared" si="11"/>
        <v>0</v>
      </c>
      <c r="AE45" s="12"/>
    </row>
    <row r="46" spans="1:31">
      <c r="A46" s="7" t="s">
        <v>85</v>
      </c>
      <c r="B46" s="7"/>
      <c r="C46" s="7"/>
      <c r="D46" s="7"/>
      <c r="E46" s="7"/>
      <c r="F46" s="7"/>
      <c r="G46" s="8"/>
      <c r="H46" s="9"/>
      <c r="I46" s="7" t="s">
        <v>85</v>
      </c>
      <c r="J46" s="7" t="s">
        <v>85</v>
      </c>
      <c r="K46" s="10" t="str">
        <f t="shared" si="0"/>
        <v/>
      </c>
      <c r="L46" s="11" t="str">
        <f t="shared" si="1"/>
        <v/>
      </c>
      <c r="M46" s="10" t="str">
        <f t="shared" si="2"/>
        <v/>
      </c>
      <c r="N46" s="11" t="str">
        <f t="shared" si="3"/>
        <v/>
      </c>
      <c r="O46" s="3"/>
      <c r="P46" s="3"/>
      <c r="Q46" s="12"/>
      <c r="R46" s="12"/>
      <c r="S46" s="12"/>
      <c r="T46" s="12"/>
      <c r="U46" s="12"/>
      <c r="V46" s="18"/>
      <c r="W46" s="10">
        <f t="shared" si="8"/>
        <v>0</v>
      </c>
      <c r="X46" s="11"/>
      <c r="Y46" s="11">
        <f t="shared" si="9"/>
        <v>0</v>
      </c>
      <c r="Z46" s="10">
        <f>IF(Inställningar!$B$5="",0,Inställningar!$B$5)</f>
        <v>850</v>
      </c>
      <c r="AA46" s="10">
        <f t="shared" si="10"/>
        <v>0</v>
      </c>
      <c r="AB46" s="4"/>
      <c r="AC46" s="13">
        <f>IF(Inställningar!$B$6="",0,Inställningar!$B$6)</f>
        <v>0.15</v>
      </c>
      <c r="AD46" s="10">
        <f t="shared" si="11"/>
        <v>0</v>
      </c>
      <c r="AE46" s="12"/>
    </row>
    <row r="47" spans="1:31">
      <c r="A47" s="7" t="s">
        <v>85</v>
      </c>
      <c r="B47" s="7"/>
      <c r="C47" s="7"/>
      <c r="D47" s="7"/>
      <c r="E47" s="7"/>
      <c r="F47" s="7"/>
      <c r="G47" s="8"/>
      <c r="H47" s="9"/>
      <c r="I47" s="7" t="s">
        <v>85</v>
      </c>
      <c r="J47" s="7" t="s">
        <v>85</v>
      </c>
      <c r="K47" s="10" t="str">
        <f t="shared" si="0"/>
        <v/>
      </c>
      <c r="L47" s="11" t="str">
        <f t="shared" si="1"/>
        <v/>
      </c>
      <c r="M47" s="10" t="str">
        <f t="shared" si="2"/>
        <v/>
      </c>
      <c r="N47" s="11" t="str">
        <f t="shared" si="3"/>
        <v/>
      </c>
      <c r="O47" s="3"/>
      <c r="P47" s="3"/>
      <c r="Q47" s="12"/>
      <c r="R47" s="12"/>
      <c r="S47" s="12"/>
      <c r="T47" s="12"/>
      <c r="U47" s="12"/>
      <c r="V47" s="18"/>
      <c r="W47" s="10">
        <f t="shared" si="8"/>
        <v>0</v>
      </c>
      <c r="X47" s="11"/>
      <c r="Y47" s="11">
        <f t="shared" si="9"/>
        <v>0</v>
      </c>
      <c r="Z47" s="10">
        <f>IF(Inställningar!$B$5="",0,Inställningar!$B$5)</f>
        <v>850</v>
      </c>
      <c r="AA47" s="10">
        <f t="shared" si="10"/>
        <v>0</v>
      </c>
      <c r="AB47" s="4"/>
      <c r="AC47" s="13">
        <f>IF(Inställningar!$B$6="",0,Inställningar!$B$6)</f>
        <v>0.15</v>
      </c>
      <c r="AD47" s="10">
        <f t="shared" si="11"/>
        <v>0</v>
      </c>
      <c r="AE47" s="12"/>
    </row>
    <row r="48" spans="1:31">
      <c r="A48" s="7" t="s">
        <v>85</v>
      </c>
      <c r="B48" s="7"/>
      <c r="C48" s="7"/>
      <c r="D48" s="7"/>
      <c r="E48" s="7"/>
      <c r="F48" s="7"/>
      <c r="G48" s="8"/>
      <c r="H48" s="9"/>
      <c r="I48" s="7" t="s">
        <v>85</v>
      </c>
      <c r="J48" s="7" t="s">
        <v>85</v>
      </c>
      <c r="K48" s="10" t="str">
        <f t="shared" si="0"/>
        <v/>
      </c>
      <c r="L48" s="11" t="str">
        <f t="shared" si="1"/>
        <v/>
      </c>
      <c r="M48" s="10" t="str">
        <f t="shared" si="2"/>
        <v/>
      </c>
      <c r="N48" s="11" t="str">
        <f t="shared" si="3"/>
        <v/>
      </c>
      <c r="O48" s="3"/>
      <c r="P48" s="3"/>
      <c r="Q48" s="12"/>
      <c r="R48" s="12"/>
      <c r="S48" s="12"/>
      <c r="T48" s="12"/>
      <c r="U48" s="12"/>
      <c r="V48" s="18"/>
      <c r="W48" s="10">
        <f t="shared" si="8"/>
        <v>0</v>
      </c>
      <c r="X48" s="11"/>
      <c r="Y48" s="11">
        <f t="shared" si="9"/>
        <v>0</v>
      </c>
      <c r="Z48" s="10">
        <f>IF(Inställningar!$B$5="",0,Inställningar!$B$5)</f>
        <v>850</v>
      </c>
      <c r="AA48" s="10">
        <f t="shared" si="10"/>
        <v>0</v>
      </c>
      <c r="AB48" s="4"/>
      <c r="AC48" s="13">
        <f>IF(Inställningar!$B$6="",0,Inställningar!$B$6)</f>
        <v>0.15</v>
      </c>
      <c r="AD48" s="10">
        <f t="shared" si="11"/>
        <v>0</v>
      </c>
      <c r="AE48" s="12"/>
    </row>
    <row r="49" spans="1:31">
      <c r="A49" s="7" t="s">
        <v>85</v>
      </c>
      <c r="B49" s="7"/>
      <c r="C49" s="7"/>
      <c r="D49" s="7"/>
      <c r="E49" s="7"/>
      <c r="F49" s="7"/>
      <c r="G49" s="8"/>
      <c r="H49" s="9"/>
      <c r="I49" s="7" t="s">
        <v>85</v>
      </c>
      <c r="J49" s="7" t="s">
        <v>85</v>
      </c>
      <c r="K49" s="10" t="str">
        <f t="shared" si="0"/>
        <v/>
      </c>
      <c r="L49" s="11" t="str">
        <f t="shared" si="1"/>
        <v/>
      </c>
      <c r="M49" s="10" t="str">
        <f t="shared" si="2"/>
        <v/>
      </c>
      <c r="N49" s="11" t="str">
        <f t="shared" si="3"/>
        <v/>
      </c>
      <c r="O49" s="3"/>
      <c r="P49" s="3"/>
      <c r="Q49" s="12"/>
      <c r="R49" s="12"/>
      <c r="S49" s="12"/>
      <c r="T49" s="12"/>
      <c r="U49" s="12"/>
      <c r="V49" s="18"/>
      <c r="W49" s="10">
        <f t="shared" si="8"/>
        <v>0</v>
      </c>
      <c r="X49" s="11"/>
      <c r="Y49" s="11">
        <f t="shared" si="9"/>
        <v>0</v>
      </c>
      <c r="Z49" s="10">
        <f>IF(Inställningar!$B$5="",0,Inställningar!$B$5)</f>
        <v>850</v>
      </c>
      <c r="AA49" s="10">
        <f t="shared" si="10"/>
        <v>0</v>
      </c>
      <c r="AB49" s="4"/>
      <c r="AC49" s="13">
        <f>IF(Inställningar!$B$6="",0,Inställningar!$B$6)</f>
        <v>0.15</v>
      </c>
      <c r="AD49" s="10">
        <f t="shared" si="11"/>
        <v>0</v>
      </c>
      <c r="AE49" s="12"/>
    </row>
    <row r="50" spans="1:31">
      <c r="A50" s="7" t="s">
        <v>85</v>
      </c>
      <c r="B50" s="7"/>
      <c r="C50" s="7"/>
      <c r="D50" s="7"/>
      <c r="E50" s="7"/>
      <c r="F50" s="7"/>
      <c r="G50" s="8"/>
      <c r="H50" s="9"/>
      <c r="I50" s="7" t="s">
        <v>85</v>
      </c>
      <c r="J50" s="7" t="s">
        <v>85</v>
      </c>
      <c r="K50" s="10" t="str">
        <f t="shared" si="0"/>
        <v/>
      </c>
      <c r="L50" s="11" t="str">
        <f t="shared" si="1"/>
        <v/>
      </c>
      <c r="M50" s="10" t="str">
        <f t="shared" si="2"/>
        <v/>
      </c>
      <c r="N50" s="11" t="str">
        <f t="shared" si="3"/>
        <v/>
      </c>
      <c r="O50" s="3"/>
      <c r="P50" s="3"/>
      <c r="Q50" s="12"/>
      <c r="R50" s="12"/>
      <c r="S50" s="12"/>
      <c r="T50" s="12"/>
      <c r="U50" s="12"/>
      <c r="V50" s="18"/>
      <c r="W50" s="10">
        <f t="shared" si="8"/>
        <v>0</v>
      </c>
      <c r="X50" s="11"/>
      <c r="Y50" s="11">
        <f t="shared" si="9"/>
        <v>0</v>
      </c>
      <c r="Z50" s="10">
        <f>IF(Inställningar!$B$5="",0,Inställningar!$B$5)</f>
        <v>850</v>
      </c>
      <c r="AA50" s="10">
        <f t="shared" si="10"/>
        <v>0</v>
      </c>
      <c r="AB50" s="4"/>
      <c r="AC50" s="13">
        <f>IF(Inställningar!$B$6="",0,Inställningar!$B$6)</f>
        <v>0.15</v>
      </c>
      <c r="AD50" s="10">
        <f t="shared" si="11"/>
        <v>0</v>
      </c>
      <c r="AE50" s="12"/>
    </row>
    <row r="51" spans="1:31">
      <c r="A51" s="7" t="s">
        <v>85</v>
      </c>
      <c r="B51" s="7"/>
      <c r="C51" s="7"/>
      <c r="D51" s="7"/>
      <c r="E51" s="7"/>
      <c r="F51" s="7"/>
      <c r="G51" s="8"/>
      <c r="H51" s="9"/>
      <c r="I51" s="7" t="s">
        <v>85</v>
      </c>
      <c r="J51" s="7" t="s">
        <v>85</v>
      </c>
      <c r="K51" s="10" t="str">
        <f t="shared" si="0"/>
        <v/>
      </c>
      <c r="L51" s="11" t="str">
        <f t="shared" si="1"/>
        <v/>
      </c>
      <c r="M51" s="10" t="str">
        <f t="shared" si="2"/>
        <v/>
      </c>
      <c r="N51" s="11" t="str">
        <f t="shared" si="3"/>
        <v/>
      </c>
      <c r="O51" s="3"/>
      <c r="P51" s="3"/>
      <c r="Q51" s="12"/>
      <c r="R51" s="12"/>
      <c r="S51" s="12"/>
      <c r="T51" s="12"/>
      <c r="U51" s="12"/>
      <c r="V51" s="18"/>
      <c r="W51" s="10">
        <f t="shared" si="8"/>
        <v>0</v>
      </c>
      <c r="X51" s="11"/>
      <c r="Y51" s="11">
        <f t="shared" si="9"/>
        <v>0</v>
      </c>
      <c r="Z51" s="10">
        <f>IF(Inställningar!$B$5="",0,Inställningar!$B$5)</f>
        <v>850</v>
      </c>
      <c r="AA51" s="10">
        <f t="shared" si="10"/>
        <v>0</v>
      </c>
      <c r="AB51" s="4"/>
      <c r="AC51" s="13">
        <f>IF(Inställningar!$B$6="",0,Inställningar!$B$6)</f>
        <v>0.15</v>
      </c>
      <c r="AD51" s="10">
        <f t="shared" si="11"/>
        <v>0</v>
      </c>
      <c r="AE51" s="12"/>
    </row>
    <row r="52" spans="1:3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12"/>
      <c r="R52" s="12"/>
      <c r="S52" s="12"/>
      <c r="T52" s="12"/>
      <c r="U52" s="12"/>
      <c r="V52" s="18"/>
      <c r="W52" s="10">
        <f t="shared" si="8"/>
        <v>0</v>
      </c>
      <c r="X52" s="11"/>
      <c r="Y52" s="11">
        <f t="shared" si="9"/>
        <v>0</v>
      </c>
      <c r="Z52" s="10">
        <f>IF(Inställningar!$B$5="",0,Inställningar!$B$5)</f>
        <v>850</v>
      </c>
      <c r="AA52" s="10">
        <f t="shared" si="10"/>
        <v>0</v>
      </c>
      <c r="AB52" s="4"/>
      <c r="AC52" s="13">
        <f>IF(Inställningar!$B$6="",0,Inställningar!$B$6)</f>
        <v>0.15</v>
      </c>
      <c r="AD52" s="10">
        <f t="shared" si="11"/>
        <v>0</v>
      </c>
      <c r="AE52" s="12"/>
    </row>
    <row r="53" spans="1:3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12"/>
      <c r="R53" s="12"/>
      <c r="S53" s="12"/>
      <c r="T53" s="12"/>
      <c r="U53" s="12"/>
      <c r="V53" s="18"/>
      <c r="W53" s="10">
        <f t="shared" si="8"/>
        <v>0</v>
      </c>
      <c r="X53" s="11"/>
      <c r="Y53" s="11">
        <f t="shared" si="9"/>
        <v>0</v>
      </c>
      <c r="Z53" s="10">
        <f>IF(Inställningar!$B$5="",0,Inställningar!$B$5)</f>
        <v>850</v>
      </c>
      <c r="AA53" s="10">
        <f t="shared" si="10"/>
        <v>0</v>
      </c>
      <c r="AB53" s="4"/>
      <c r="AC53" s="13">
        <f>IF(Inställningar!$B$6="",0,Inställningar!$B$6)</f>
        <v>0.15</v>
      </c>
      <c r="AD53" s="10">
        <f t="shared" si="11"/>
        <v>0</v>
      </c>
      <c r="AE53" s="12"/>
    </row>
    <row r="54" spans="1:3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12"/>
      <c r="R54" s="12"/>
      <c r="S54" s="12"/>
      <c r="T54" s="12"/>
      <c r="U54" s="12"/>
      <c r="V54" s="18"/>
      <c r="W54" s="10">
        <f t="shared" si="8"/>
        <v>0</v>
      </c>
      <c r="X54" s="11"/>
      <c r="Y54" s="11">
        <f t="shared" si="9"/>
        <v>0</v>
      </c>
      <c r="Z54" s="10">
        <f>IF(Inställningar!$B$5="",0,Inställningar!$B$5)</f>
        <v>850</v>
      </c>
      <c r="AA54" s="10">
        <f t="shared" si="10"/>
        <v>0</v>
      </c>
      <c r="AB54" s="4"/>
      <c r="AC54" s="13">
        <f>IF(Inställningar!$B$6="",0,Inställningar!$B$6)</f>
        <v>0.15</v>
      </c>
      <c r="AD54" s="10">
        <f t="shared" si="11"/>
        <v>0</v>
      </c>
      <c r="AE54" s="12"/>
    </row>
    <row r="55" spans="1:3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12"/>
      <c r="R55" s="12"/>
      <c r="S55" s="12"/>
      <c r="T55" s="12"/>
      <c r="U55" s="12"/>
      <c r="V55" s="18"/>
      <c r="W55" s="10">
        <f t="shared" si="8"/>
        <v>0</v>
      </c>
      <c r="X55" s="11"/>
      <c r="Y55" s="11">
        <f t="shared" si="9"/>
        <v>0</v>
      </c>
      <c r="Z55" s="10">
        <f>IF(Inställningar!$B$5="",0,Inställningar!$B$5)</f>
        <v>850</v>
      </c>
      <c r="AA55" s="10">
        <f t="shared" si="10"/>
        <v>0</v>
      </c>
      <c r="AB55" s="4"/>
      <c r="AC55" s="13">
        <f>IF(Inställningar!$B$6="",0,Inställningar!$B$6)</f>
        <v>0.15</v>
      </c>
      <c r="AD55" s="10">
        <f t="shared" si="11"/>
        <v>0</v>
      </c>
      <c r="AE55" s="12"/>
    </row>
    <row r="56" spans="1:3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12"/>
      <c r="R56" s="12"/>
      <c r="S56" s="12"/>
      <c r="T56" s="12"/>
      <c r="U56" s="12"/>
      <c r="V56" s="18"/>
      <c r="W56" s="10">
        <f t="shared" si="8"/>
        <v>0</v>
      </c>
      <c r="X56" s="11"/>
      <c r="Y56" s="11">
        <f t="shared" si="9"/>
        <v>0</v>
      </c>
      <c r="Z56" s="10">
        <f>IF(Inställningar!$B$5="",0,Inställningar!$B$5)</f>
        <v>850</v>
      </c>
      <c r="AA56" s="10">
        <f t="shared" si="10"/>
        <v>0</v>
      </c>
      <c r="AB56" s="4"/>
      <c r="AC56" s="13">
        <f>IF(Inställningar!$B$6="",0,Inställningar!$B$6)</f>
        <v>0.15</v>
      </c>
      <c r="AD56" s="10">
        <f t="shared" si="11"/>
        <v>0</v>
      </c>
      <c r="AE56" s="12"/>
    </row>
    <row r="57" spans="1:3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12"/>
      <c r="R57" s="12"/>
      <c r="S57" s="12"/>
      <c r="T57" s="12"/>
      <c r="U57" s="12"/>
      <c r="V57" s="18"/>
      <c r="W57" s="10">
        <f t="shared" si="8"/>
        <v>0</v>
      </c>
      <c r="X57" s="11"/>
      <c r="Y57" s="11">
        <f t="shared" si="9"/>
        <v>0</v>
      </c>
      <c r="Z57" s="10">
        <f>IF(Inställningar!$B$5="",0,Inställningar!$B$5)</f>
        <v>850</v>
      </c>
      <c r="AA57" s="10">
        <f t="shared" si="10"/>
        <v>0</v>
      </c>
      <c r="AB57" s="4"/>
      <c r="AC57" s="13">
        <f>IF(Inställningar!$B$6="",0,Inställningar!$B$6)</f>
        <v>0.15</v>
      </c>
      <c r="AD57" s="10">
        <f t="shared" si="11"/>
        <v>0</v>
      </c>
      <c r="AE57" s="12"/>
    </row>
    <row r="58" spans="1:3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12"/>
      <c r="R58" s="12"/>
      <c r="S58" s="12"/>
      <c r="T58" s="12"/>
      <c r="U58" s="12"/>
      <c r="V58" s="18"/>
      <c r="W58" s="10">
        <f t="shared" si="8"/>
        <v>0</v>
      </c>
      <c r="X58" s="11"/>
      <c r="Y58" s="11">
        <f t="shared" si="9"/>
        <v>0</v>
      </c>
      <c r="Z58" s="10">
        <f>IF(Inställningar!$B$5="",0,Inställningar!$B$5)</f>
        <v>850</v>
      </c>
      <c r="AA58" s="10">
        <f t="shared" si="10"/>
        <v>0</v>
      </c>
      <c r="AB58" s="4"/>
      <c r="AC58" s="13">
        <f>IF(Inställningar!$B$6="",0,Inställningar!$B$6)</f>
        <v>0.15</v>
      </c>
      <c r="AD58" s="10">
        <f t="shared" si="11"/>
        <v>0</v>
      </c>
      <c r="AE58" s="12"/>
    </row>
    <row r="59" spans="1:3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12"/>
      <c r="R59" s="12"/>
      <c r="S59" s="12"/>
      <c r="T59" s="12"/>
      <c r="U59" s="12"/>
      <c r="V59" s="18"/>
      <c r="W59" s="10">
        <f t="shared" si="8"/>
        <v>0</v>
      </c>
      <c r="X59" s="11"/>
      <c r="Y59" s="11">
        <f t="shared" si="9"/>
        <v>0</v>
      </c>
      <c r="Z59" s="10">
        <f>IF(Inställningar!$B$5="",0,Inställningar!$B$5)</f>
        <v>850</v>
      </c>
      <c r="AA59" s="10">
        <f t="shared" si="10"/>
        <v>0</v>
      </c>
      <c r="AB59" s="4"/>
      <c r="AC59" s="13">
        <f>IF(Inställningar!$B$6="",0,Inställningar!$B$6)</f>
        <v>0.15</v>
      </c>
      <c r="AD59" s="10">
        <f t="shared" si="11"/>
        <v>0</v>
      </c>
      <c r="AE59" s="12"/>
    </row>
    <row r="60" spans="1:3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12"/>
      <c r="R60" s="12"/>
      <c r="S60" s="12"/>
      <c r="T60" s="12"/>
      <c r="U60" s="12"/>
      <c r="V60" s="18"/>
      <c r="W60" s="10">
        <f t="shared" si="8"/>
        <v>0</v>
      </c>
      <c r="X60" s="11"/>
      <c r="Y60" s="11">
        <f t="shared" si="9"/>
        <v>0</v>
      </c>
      <c r="Z60" s="10">
        <f>IF(Inställningar!$B$5="",0,Inställningar!$B$5)</f>
        <v>850</v>
      </c>
      <c r="AA60" s="10">
        <f t="shared" si="10"/>
        <v>0</v>
      </c>
      <c r="AB60" s="4"/>
      <c r="AC60" s="13">
        <f>IF(Inställningar!$B$6="",0,Inställningar!$B$6)</f>
        <v>0.15</v>
      </c>
      <c r="AD60" s="10">
        <f t="shared" si="11"/>
        <v>0</v>
      </c>
      <c r="AE60" s="12"/>
    </row>
    <row r="61" spans="1:3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12"/>
      <c r="R61" s="12"/>
      <c r="S61" s="12"/>
      <c r="T61" s="12"/>
      <c r="U61" s="12"/>
      <c r="V61" s="18"/>
      <c r="W61" s="10">
        <f t="shared" si="8"/>
        <v>0</v>
      </c>
      <c r="X61" s="11"/>
      <c r="Y61" s="11">
        <f t="shared" si="9"/>
        <v>0</v>
      </c>
      <c r="Z61" s="10">
        <f>IF(Inställningar!$B$5="",0,Inställningar!$B$5)</f>
        <v>850</v>
      </c>
      <c r="AA61" s="10">
        <f t="shared" si="10"/>
        <v>0</v>
      </c>
      <c r="AB61" s="4"/>
      <c r="AC61" s="13">
        <f>IF(Inställningar!$B$6="",0,Inställningar!$B$6)</f>
        <v>0.15</v>
      </c>
      <c r="AD61" s="10">
        <f t="shared" si="11"/>
        <v>0</v>
      </c>
      <c r="AE61" s="12"/>
    </row>
    <row r="62" spans="1:3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12"/>
      <c r="R62" s="12"/>
      <c r="S62" s="12"/>
      <c r="T62" s="12"/>
      <c r="U62" s="12"/>
      <c r="V62" s="18"/>
      <c r="W62" s="10">
        <f t="shared" si="8"/>
        <v>0</v>
      </c>
      <c r="X62" s="11"/>
      <c r="Y62" s="11">
        <f t="shared" si="9"/>
        <v>0</v>
      </c>
      <c r="Z62" s="10">
        <f>IF(Inställningar!$B$5="",0,Inställningar!$B$5)</f>
        <v>850</v>
      </c>
      <c r="AA62" s="10">
        <f t="shared" si="10"/>
        <v>0</v>
      </c>
      <c r="AB62" s="4"/>
      <c r="AC62" s="13">
        <f>IF(Inställningar!$B$6="",0,Inställningar!$B$6)</f>
        <v>0.15</v>
      </c>
      <c r="AD62" s="10">
        <f t="shared" si="11"/>
        <v>0</v>
      </c>
      <c r="AE62" s="12"/>
    </row>
    <row r="63" spans="1:3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12"/>
      <c r="R63" s="12"/>
      <c r="S63" s="12"/>
      <c r="T63" s="12"/>
      <c r="U63" s="12"/>
      <c r="V63" s="18"/>
      <c r="W63" s="10">
        <f t="shared" si="8"/>
        <v>0</v>
      </c>
      <c r="X63" s="11"/>
      <c r="Y63" s="11">
        <f t="shared" si="9"/>
        <v>0</v>
      </c>
      <c r="Z63" s="10">
        <f>IF(Inställningar!$B$5="",0,Inställningar!$B$5)</f>
        <v>850</v>
      </c>
      <c r="AA63" s="10">
        <f t="shared" si="10"/>
        <v>0</v>
      </c>
      <c r="AB63" s="4"/>
      <c r="AC63" s="13">
        <f>IF(Inställningar!$B$6="",0,Inställningar!$B$6)</f>
        <v>0.15</v>
      </c>
      <c r="AD63" s="10">
        <f t="shared" si="11"/>
        <v>0</v>
      </c>
      <c r="AE63" s="12"/>
    </row>
    <row r="64" spans="1:3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12"/>
      <c r="R64" s="12"/>
      <c r="S64" s="12"/>
      <c r="T64" s="12"/>
      <c r="U64" s="12"/>
      <c r="V64" s="18"/>
      <c r="W64" s="10">
        <f t="shared" si="8"/>
        <v>0</v>
      </c>
      <c r="X64" s="11"/>
      <c r="Y64" s="11">
        <f t="shared" si="9"/>
        <v>0</v>
      </c>
      <c r="Z64" s="10">
        <f>IF(Inställningar!$B$5="",0,Inställningar!$B$5)</f>
        <v>850</v>
      </c>
      <c r="AA64" s="10">
        <f t="shared" si="10"/>
        <v>0</v>
      </c>
      <c r="AB64" s="4"/>
      <c r="AC64" s="13">
        <f>IF(Inställningar!$B$6="",0,Inställningar!$B$6)</f>
        <v>0.15</v>
      </c>
      <c r="AD64" s="10">
        <f t="shared" si="11"/>
        <v>0</v>
      </c>
      <c r="AE64" s="12"/>
    </row>
    <row r="65" spans="1:3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12"/>
      <c r="R65" s="12"/>
      <c r="S65" s="12"/>
      <c r="T65" s="12"/>
      <c r="U65" s="12"/>
      <c r="V65" s="18"/>
      <c r="W65" s="10">
        <f t="shared" si="8"/>
        <v>0</v>
      </c>
      <c r="X65" s="11"/>
      <c r="Y65" s="11">
        <f t="shared" si="9"/>
        <v>0</v>
      </c>
      <c r="Z65" s="10">
        <f>IF(Inställningar!$B$5="",0,Inställningar!$B$5)</f>
        <v>850</v>
      </c>
      <c r="AA65" s="10">
        <f t="shared" si="10"/>
        <v>0</v>
      </c>
      <c r="AB65" s="4"/>
      <c r="AC65" s="13">
        <f>IF(Inställningar!$B$6="",0,Inställningar!$B$6)</f>
        <v>0.15</v>
      </c>
      <c r="AD65" s="10">
        <f t="shared" si="11"/>
        <v>0</v>
      </c>
      <c r="AE65" s="12"/>
    </row>
    <row r="66" spans="1:3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12"/>
      <c r="R66" s="12"/>
      <c r="S66" s="12"/>
      <c r="T66" s="12"/>
      <c r="U66" s="12"/>
      <c r="V66" s="18"/>
      <c r="W66" s="10">
        <f t="shared" si="8"/>
        <v>0</v>
      </c>
      <c r="X66" s="11"/>
      <c r="Y66" s="11">
        <f t="shared" si="9"/>
        <v>0</v>
      </c>
      <c r="Z66" s="10">
        <f>IF(Inställningar!$B$5="",0,Inställningar!$B$5)</f>
        <v>850</v>
      </c>
      <c r="AA66" s="10">
        <f t="shared" si="10"/>
        <v>0</v>
      </c>
      <c r="AB66" s="4"/>
      <c r="AC66" s="13">
        <f>IF(Inställningar!$B$6="",0,Inställningar!$B$6)</f>
        <v>0.15</v>
      </c>
      <c r="AD66" s="10">
        <f t="shared" si="11"/>
        <v>0</v>
      </c>
      <c r="AE66" s="12"/>
    </row>
    <row r="67" spans="1:3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12"/>
      <c r="R67" s="12"/>
      <c r="S67" s="12"/>
      <c r="T67" s="12"/>
      <c r="U67" s="12"/>
      <c r="V67" s="18"/>
      <c r="W67" s="10">
        <f t="shared" si="8"/>
        <v>0</v>
      </c>
      <c r="X67" s="11"/>
      <c r="Y67" s="11">
        <f t="shared" si="9"/>
        <v>0</v>
      </c>
      <c r="Z67" s="10">
        <f>IF(Inställningar!$B$5="",0,Inställningar!$B$5)</f>
        <v>850</v>
      </c>
      <c r="AA67" s="10">
        <f t="shared" si="10"/>
        <v>0</v>
      </c>
      <c r="AB67" s="4"/>
      <c r="AC67" s="13">
        <f>IF(Inställningar!$B$6="",0,Inställningar!$B$6)</f>
        <v>0.15</v>
      </c>
      <c r="AD67" s="10">
        <f t="shared" si="11"/>
        <v>0</v>
      </c>
      <c r="AE67" s="12"/>
    </row>
    <row r="68" spans="1:3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12"/>
      <c r="R68" s="12"/>
      <c r="S68" s="12"/>
      <c r="T68" s="12"/>
      <c r="U68" s="12"/>
      <c r="V68" s="18"/>
      <c r="W68" s="10">
        <f t="shared" si="8"/>
        <v>0</v>
      </c>
      <c r="X68" s="11"/>
      <c r="Y68" s="11">
        <f t="shared" si="9"/>
        <v>0</v>
      </c>
      <c r="Z68" s="10">
        <f>IF(Inställningar!$B$5="",0,Inställningar!$B$5)</f>
        <v>850</v>
      </c>
      <c r="AA68" s="10">
        <f t="shared" si="10"/>
        <v>0</v>
      </c>
      <c r="AB68" s="4"/>
      <c r="AC68" s="13">
        <f>IF(Inställningar!$B$6="",0,Inställningar!$B$6)</f>
        <v>0.15</v>
      </c>
      <c r="AD68" s="10">
        <f t="shared" si="11"/>
        <v>0</v>
      </c>
      <c r="AE68" s="12"/>
    </row>
    <row r="69" spans="1:3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12"/>
      <c r="R69" s="12"/>
      <c r="S69" s="12"/>
      <c r="T69" s="12"/>
      <c r="U69" s="12"/>
      <c r="V69" s="18"/>
      <c r="W69" s="10">
        <f t="shared" si="8"/>
        <v>0</v>
      </c>
      <c r="X69" s="11"/>
      <c r="Y69" s="11">
        <f t="shared" si="9"/>
        <v>0</v>
      </c>
      <c r="Z69" s="10">
        <f>IF(Inställningar!$B$5="",0,Inställningar!$B$5)</f>
        <v>850</v>
      </c>
      <c r="AA69" s="10">
        <f t="shared" si="10"/>
        <v>0</v>
      </c>
      <c r="AB69" s="4"/>
      <c r="AC69" s="13">
        <f>IF(Inställningar!$B$6="",0,Inställningar!$B$6)</f>
        <v>0.15</v>
      </c>
      <c r="AD69" s="10">
        <f t="shared" si="11"/>
        <v>0</v>
      </c>
      <c r="AE69" s="12"/>
    </row>
    <row r="70" spans="1:3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2"/>
      <c r="R70" s="12"/>
      <c r="S70" s="12"/>
      <c r="T70" s="12"/>
      <c r="U70" s="12"/>
      <c r="V70" s="18"/>
      <c r="W70" s="10">
        <f t="shared" si="8"/>
        <v>0</v>
      </c>
      <c r="X70" s="11"/>
      <c r="Y70" s="11">
        <f t="shared" si="9"/>
        <v>0</v>
      </c>
      <c r="Z70" s="10">
        <f>IF(Inställningar!$B$5="",0,Inställningar!$B$5)</f>
        <v>850</v>
      </c>
      <c r="AA70" s="10">
        <f t="shared" si="10"/>
        <v>0</v>
      </c>
      <c r="AB70" s="4"/>
      <c r="AC70" s="13">
        <f>IF(Inställningar!$B$6="",0,Inställningar!$B$6)</f>
        <v>0.15</v>
      </c>
      <c r="AD70" s="10">
        <f t="shared" si="11"/>
        <v>0</v>
      </c>
      <c r="AE70" s="12"/>
    </row>
    <row r="71" spans="1:3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12"/>
      <c r="R71" s="12"/>
      <c r="S71" s="12"/>
      <c r="T71" s="12"/>
      <c r="U71" s="12"/>
      <c r="V71" s="18"/>
      <c r="W71" s="10">
        <f t="shared" ref="W71:W102" si="12">IF(OR(T71="",V71=""),0,T71*V71)</f>
        <v>0</v>
      </c>
      <c r="X71" s="11"/>
      <c r="Y71" s="11">
        <f t="shared" ref="Y71:Y102" si="13">IF(OR(T71="",X71=""),0,T71*X71)</f>
        <v>0</v>
      </c>
      <c r="Z71" s="10">
        <f>IF(Inställningar!$B$5="",0,Inställningar!$B$5)</f>
        <v>850</v>
      </c>
      <c r="AA71" s="10">
        <f t="shared" ref="AA71:AA102" si="14">Y71*Z71</f>
        <v>0</v>
      </c>
      <c r="AB71" s="4"/>
      <c r="AC71" s="13">
        <f>IF(Inställningar!$B$6="",0,Inställningar!$B$6)</f>
        <v>0.15</v>
      </c>
      <c r="AD71" s="10">
        <f t="shared" ref="AD71:AD102" si="15">ROUND((W71+AA71+IF(AB71="",0,AB71))*(1+AC71),0)</f>
        <v>0</v>
      </c>
      <c r="AE71" s="12"/>
    </row>
    <row r="72" spans="1:3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12"/>
      <c r="R72" s="12"/>
      <c r="S72" s="12"/>
      <c r="T72" s="12"/>
      <c r="U72" s="12"/>
      <c r="V72" s="18"/>
      <c r="W72" s="10">
        <f t="shared" si="12"/>
        <v>0</v>
      </c>
      <c r="X72" s="11"/>
      <c r="Y72" s="11">
        <f t="shared" si="13"/>
        <v>0</v>
      </c>
      <c r="Z72" s="10">
        <f>IF(Inställningar!$B$5="",0,Inställningar!$B$5)</f>
        <v>850</v>
      </c>
      <c r="AA72" s="10">
        <f t="shared" si="14"/>
        <v>0</v>
      </c>
      <c r="AB72" s="4"/>
      <c r="AC72" s="13">
        <f>IF(Inställningar!$B$6="",0,Inställningar!$B$6)</f>
        <v>0.15</v>
      </c>
      <c r="AD72" s="10">
        <f t="shared" si="15"/>
        <v>0</v>
      </c>
      <c r="AE72" s="12"/>
    </row>
    <row r="73" spans="1:3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12"/>
      <c r="R73" s="12"/>
      <c r="S73" s="12"/>
      <c r="T73" s="12"/>
      <c r="U73" s="12"/>
      <c r="V73" s="18"/>
      <c r="W73" s="10">
        <f t="shared" si="12"/>
        <v>0</v>
      </c>
      <c r="X73" s="11"/>
      <c r="Y73" s="11">
        <f t="shared" si="13"/>
        <v>0</v>
      </c>
      <c r="Z73" s="10">
        <f>IF(Inställningar!$B$5="",0,Inställningar!$B$5)</f>
        <v>850</v>
      </c>
      <c r="AA73" s="10">
        <f t="shared" si="14"/>
        <v>0</v>
      </c>
      <c r="AB73" s="4"/>
      <c r="AC73" s="13">
        <f>IF(Inställningar!$B$6="",0,Inställningar!$B$6)</f>
        <v>0.15</v>
      </c>
      <c r="AD73" s="10">
        <f t="shared" si="15"/>
        <v>0</v>
      </c>
      <c r="AE73" s="12"/>
    </row>
    <row r="74" spans="1:3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12"/>
      <c r="R74" s="12"/>
      <c r="S74" s="12"/>
      <c r="T74" s="12"/>
      <c r="U74" s="12"/>
      <c r="V74" s="18"/>
      <c r="W74" s="10">
        <f t="shared" si="12"/>
        <v>0</v>
      </c>
      <c r="X74" s="11"/>
      <c r="Y74" s="11">
        <f t="shared" si="13"/>
        <v>0</v>
      </c>
      <c r="Z74" s="10">
        <f>IF(Inställningar!$B$5="",0,Inställningar!$B$5)</f>
        <v>850</v>
      </c>
      <c r="AA74" s="10">
        <f t="shared" si="14"/>
        <v>0</v>
      </c>
      <c r="AB74" s="4"/>
      <c r="AC74" s="13">
        <f>IF(Inställningar!$B$6="",0,Inställningar!$B$6)</f>
        <v>0.15</v>
      </c>
      <c r="AD74" s="10">
        <f t="shared" si="15"/>
        <v>0</v>
      </c>
      <c r="AE74" s="12"/>
    </row>
    <row r="75" spans="1:3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12"/>
      <c r="R75" s="12"/>
      <c r="S75" s="12"/>
      <c r="T75" s="12"/>
      <c r="U75" s="12"/>
      <c r="V75" s="18"/>
      <c r="W75" s="10">
        <f t="shared" si="12"/>
        <v>0</v>
      </c>
      <c r="X75" s="11"/>
      <c r="Y75" s="11">
        <f t="shared" si="13"/>
        <v>0</v>
      </c>
      <c r="Z75" s="10">
        <f>IF(Inställningar!$B$5="",0,Inställningar!$B$5)</f>
        <v>850</v>
      </c>
      <c r="AA75" s="10">
        <f t="shared" si="14"/>
        <v>0</v>
      </c>
      <c r="AB75" s="4"/>
      <c r="AC75" s="13">
        <f>IF(Inställningar!$B$6="",0,Inställningar!$B$6)</f>
        <v>0.15</v>
      </c>
      <c r="AD75" s="10">
        <f t="shared" si="15"/>
        <v>0</v>
      </c>
      <c r="AE75" s="12"/>
    </row>
    <row r="76" spans="1:3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12"/>
      <c r="R76" s="12"/>
      <c r="S76" s="12"/>
      <c r="T76" s="12"/>
      <c r="U76" s="12"/>
      <c r="V76" s="18"/>
      <c r="W76" s="10">
        <f t="shared" si="12"/>
        <v>0</v>
      </c>
      <c r="X76" s="11"/>
      <c r="Y76" s="11">
        <f t="shared" si="13"/>
        <v>0</v>
      </c>
      <c r="Z76" s="10">
        <f>IF(Inställningar!$B$5="",0,Inställningar!$B$5)</f>
        <v>850</v>
      </c>
      <c r="AA76" s="10">
        <f t="shared" si="14"/>
        <v>0</v>
      </c>
      <c r="AB76" s="4"/>
      <c r="AC76" s="13">
        <f>IF(Inställningar!$B$6="",0,Inställningar!$B$6)</f>
        <v>0.15</v>
      </c>
      <c r="AD76" s="10">
        <f t="shared" si="15"/>
        <v>0</v>
      </c>
      <c r="AE76" s="12"/>
    </row>
    <row r="77" spans="1:3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12"/>
      <c r="R77" s="12"/>
      <c r="S77" s="12"/>
      <c r="T77" s="12"/>
      <c r="U77" s="12"/>
      <c r="V77" s="18"/>
      <c r="W77" s="10">
        <f t="shared" si="12"/>
        <v>0</v>
      </c>
      <c r="X77" s="11"/>
      <c r="Y77" s="11">
        <f t="shared" si="13"/>
        <v>0</v>
      </c>
      <c r="Z77" s="10">
        <f>IF(Inställningar!$B$5="",0,Inställningar!$B$5)</f>
        <v>850</v>
      </c>
      <c r="AA77" s="10">
        <f t="shared" si="14"/>
        <v>0</v>
      </c>
      <c r="AB77" s="4"/>
      <c r="AC77" s="13">
        <f>IF(Inställningar!$B$6="",0,Inställningar!$B$6)</f>
        <v>0.15</v>
      </c>
      <c r="AD77" s="10">
        <f t="shared" si="15"/>
        <v>0</v>
      </c>
      <c r="AE77" s="12"/>
    </row>
    <row r="78" spans="1:3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12"/>
      <c r="R78" s="12"/>
      <c r="S78" s="12"/>
      <c r="T78" s="12"/>
      <c r="U78" s="12"/>
      <c r="V78" s="18"/>
      <c r="W78" s="10">
        <f t="shared" si="12"/>
        <v>0</v>
      </c>
      <c r="X78" s="11"/>
      <c r="Y78" s="11">
        <f t="shared" si="13"/>
        <v>0</v>
      </c>
      <c r="Z78" s="10">
        <f>IF(Inställningar!$B$5="",0,Inställningar!$B$5)</f>
        <v>850</v>
      </c>
      <c r="AA78" s="10">
        <f t="shared" si="14"/>
        <v>0</v>
      </c>
      <c r="AB78" s="4"/>
      <c r="AC78" s="13">
        <f>IF(Inställningar!$B$6="",0,Inställningar!$B$6)</f>
        <v>0.15</v>
      </c>
      <c r="AD78" s="10">
        <f t="shared" si="15"/>
        <v>0</v>
      </c>
      <c r="AE78" s="12"/>
    </row>
    <row r="79" spans="1:3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12"/>
      <c r="R79" s="12"/>
      <c r="S79" s="12"/>
      <c r="T79" s="12"/>
      <c r="U79" s="12"/>
      <c r="V79" s="18"/>
      <c r="W79" s="10">
        <f t="shared" si="12"/>
        <v>0</v>
      </c>
      <c r="X79" s="11"/>
      <c r="Y79" s="11">
        <f t="shared" si="13"/>
        <v>0</v>
      </c>
      <c r="Z79" s="10">
        <f>IF(Inställningar!$B$5="",0,Inställningar!$B$5)</f>
        <v>850</v>
      </c>
      <c r="AA79" s="10">
        <f t="shared" si="14"/>
        <v>0</v>
      </c>
      <c r="AB79" s="4"/>
      <c r="AC79" s="13">
        <f>IF(Inställningar!$B$6="",0,Inställningar!$B$6)</f>
        <v>0.15</v>
      </c>
      <c r="AD79" s="10">
        <f t="shared" si="15"/>
        <v>0</v>
      </c>
      <c r="AE79" s="12"/>
    </row>
    <row r="80" spans="1:3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12"/>
      <c r="R80" s="12"/>
      <c r="S80" s="12"/>
      <c r="T80" s="12"/>
      <c r="U80" s="12"/>
      <c r="V80" s="18"/>
      <c r="W80" s="10">
        <f t="shared" si="12"/>
        <v>0</v>
      </c>
      <c r="X80" s="11"/>
      <c r="Y80" s="11">
        <f t="shared" si="13"/>
        <v>0</v>
      </c>
      <c r="Z80" s="10">
        <f>IF(Inställningar!$B$5="",0,Inställningar!$B$5)</f>
        <v>850</v>
      </c>
      <c r="AA80" s="10">
        <f t="shared" si="14"/>
        <v>0</v>
      </c>
      <c r="AB80" s="4"/>
      <c r="AC80" s="13">
        <f>IF(Inställningar!$B$6="",0,Inställningar!$B$6)</f>
        <v>0.15</v>
      </c>
      <c r="AD80" s="10">
        <f t="shared" si="15"/>
        <v>0</v>
      </c>
      <c r="AE80" s="12"/>
    </row>
    <row r="81" spans="1:3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12"/>
      <c r="R81" s="12"/>
      <c r="S81" s="12"/>
      <c r="T81" s="12"/>
      <c r="U81" s="12"/>
      <c r="V81" s="18"/>
      <c r="W81" s="10">
        <f t="shared" si="12"/>
        <v>0</v>
      </c>
      <c r="X81" s="11"/>
      <c r="Y81" s="11">
        <f t="shared" si="13"/>
        <v>0</v>
      </c>
      <c r="Z81" s="10">
        <f>IF(Inställningar!$B$5="",0,Inställningar!$B$5)</f>
        <v>850</v>
      </c>
      <c r="AA81" s="10">
        <f t="shared" si="14"/>
        <v>0</v>
      </c>
      <c r="AB81" s="4"/>
      <c r="AC81" s="13">
        <f>IF(Inställningar!$B$6="",0,Inställningar!$B$6)</f>
        <v>0.15</v>
      </c>
      <c r="AD81" s="10">
        <f t="shared" si="15"/>
        <v>0</v>
      </c>
      <c r="AE81" s="12"/>
    </row>
    <row r="82" spans="1:3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12"/>
      <c r="R82" s="12"/>
      <c r="S82" s="12"/>
      <c r="T82" s="12"/>
      <c r="U82" s="12"/>
      <c r="V82" s="18"/>
      <c r="W82" s="10">
        <f t="shared" si="12"/>
        <v>0</v>
      </c>
      <c r="X82" s="11"/>
      <c r="Y82" s="11">
        <f t="shared" si="13"/>
        <v>0</v>
      </c>
      <c r="Z82" s="10">
        <f>IF(Inställningar!$B$5="",0,Inställningar!$B$5)</f>
        <v>850</v>
      </c>
      <c r="AA82" s="10">
        <f t="shared" si="14"/>
        <v>0</v>
      </c>
      <c r="AB82" s="4"/>
      <c r="AC82" s="13">
        <f>IF(Inställningar!$B$6="",0,Inställningar!$B$6)</f>
        <v>0.15</v>
      </c>
      <c r="AD82" s="10">
        <f t="shared" si="15"/>
        <v>0</v>
      </c>
      <c r="AE82" s="12"/>
    </row>
    <row r="83" spans="1:3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12"/>
      <c r="R83" s="12"/>
      <c r="S83" s="12"/>
      <c r="T83" s="12"/>
      <c r="U83" s="12"/>
      <c r="V83" s="18"/>
      <c r="W83" s="10">
        <f t="shared" si="12"/>
        <v>0</v>
      </c>
      <c r="X83" s="11"/>
      <c r="Y83" s="11">
        <f t="shared" si="13"/>
        <v>0</v>
      </c>
      <c r="Z83" s="10">
        <f>IF(Inställningar!$B$5="",0,Inställningar!$B$5)</f>
        <v>850</v>
      </c>
      <c r="AA83" s="10">
        <f t="shared" si="14"/>
        <v>0</v>
      </c>
      <c r="AB83" s="4"/>
      <c r="AC83" s="13">
        <f>IF(Inställningar!$B$6="",0,Inställningar!$B$6)</f>
        <v>0.15</v>
      </c>
      <c r="AD83" s="10">
        <f t="shared" si="15"/>
        <v>0</v>
      </c>
      <c r="AE83" s="12"/>
    </row>
    <row r="84" spans="1:3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12"/>
      <c r="R84" s="12"/>
      <c r="S84" s="12"/>
      <c r="T84" s="12"/>
      <c r="U84" s="12"/>
      <c r="V84" s="18"/>
      <c r="W84" s="10">
        <f t="shared" si="12"/>
        <v>0</v>
      </c>
      <c r="X84" s="11"/>
      <c r="Y84" s="11">
        <f t="shared" si="13"/>
        <v>0</v>
      </c>
      <c r="Z84" s="10">
        <f>IF(Inställningar!$B$5="",0,Inställningar!$B$5)</f>
        <v>850</v>
      </c>
      <c r="AA84" s="10">
        <f t="shared" si="14"/>
        <v>0</v>
      </c>
      <c r="AB84" s="4"/>
      <c r="AC84" s="13">
        <f>IF(Inställningar!$B$6="",0,Inställningar!$B$6)</f>
        <v>0.15</v>
      </c>
      <c r="AD84" s="10">
        <f t="shared" si="15"/>
        <v>0</v>
      </c>
      <c r="AE84" s="12"/>
    </row>
    <row r="85" spans="1:3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12"/>
      <c r="R85" s="12"/>
      <c r="S85" s="12"/>
      <c r="T85" s="12"/>
      <c r="U85" s="12"/>
      <c r="V85" s="18"/>
      <c r="W85" s="10">
        <f t="shared" si="12"/>
        <v>0</v>
      </c>
      <c r="X85" s="11"/>
      <c r="Y85" s="11">
        <f t="shared" si="13"/>
        <v>0</v>
      </c>
      <c r="Z85" s="10">
        <f>IF(Inställningar!$B$5="",0,Inställningar!$B$5)</f>
        <v>850</v>
      </c>
      <c r="AA85" s="10">
        <f t="shared" si="14"/>
        <v>0</v>
      </c>
      <c r="AB85" s="4"/>
      <c r="AC85" s="13">
        <f>IF(Inställningar!$B$6="",0,Inställningar!$B$6)</f>
        <v>0.15</v>
      </c>
      <c r="AD85" s="10">
        <f t="shared" si="15"/>
        <v>0</v>
      </c>
      <c r="AE85" s="12"/>
    </row>
    <row r="86" spans="1:3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12"/>
      <c r="R86" s="12"/>
      <c r="S86" s="12"/>
      <c r="T86" s="12"/>
      <c r="U86" s="12"/>
      <c r="V86" s="18"/>
      <c r="W86" s="10">
        <f t="shared" si="12"/>
        <v>0</v>
      </c>
      <c r="X86" s="11"/>
      <c r="Y86" s="11">
        <f t="shared" si="13"/>
        <v>0</v>
      </c>
      <c r="Z86" s="10">
        <f>IF(Inställningar!$B$5="",0,Inställningar!$B$5)</f>
        <v>850</v>
      </c>
      <c r="AA86" s="10">
        <f t="shared" si="14"/>
        <v>0</v>
      </c>
      <c r="AB86" s="4"/>
      <c r="AC86" s="13">
        <f>IF(Inställningar!$B$6="",0,Inställningar!$B$6)</f>
        <v>0.15</v>
      </c>
      <c r="AD86" s="10">
        <f t="shared" si="15"/>
        <v>0</v>
      </c>
      <c r="AE86" s="12"/>
    </row>
    <row r="87" spans="1:3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12"/>
      <c r="R87" s="12"/>
      <c r="S87" s="12"/>
      <c r="T87" s="12"/>
      <c r="U87" s="12"/>
      <c r="V87" s="18"/>
      <c r="W87" s="10">
        <f t="shared" si="12"/>
        <v>0</v>
      </c>
      <c r="X87" s="11"/>
      <c r="Y87" s="11">
        <f t="shared" si="13"/>
        <v>0</v>
      </c>
      <c r="Z87" s="10">
        <f>IF(Inställningar!$B$5="",0,Inställningar!$B$5)</f>
        <v>850</v>
      </c>
      <c r="AA87" s="10">
        <f t="shared" si="14"/>
        <v>0</v>
      </c>
      <c r="AB87" s="4"/>
      <c r="AC87" s="13">
        <f>IF(Inställningar!$B$6="",0,Inställningar!$B$6)</f>
        <v>0.15</v>
      </c>
      <c r="AD87" s="10">
        <f t="shared" si="15"/>
        <v>0</v>
      </c>
      <c r="AE87" s="12"/>
    </row>
    <row r="88" spans="1:3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2"/>
      <c r="R88" s="12"/>
      <c r="S88" s="12"/>
      <c r="T88" s="12"/>
      <c r="U88" s="12"/>
      <c r="V88" s="18"/>
      <c r="W88" s="10">
        <f t="shared" si="12"/>
        <v>0</v>
      </c>
      <c r="X88" s="11"/>
      <c r="Y88" s="11">
        <f t="shared" si="13"/>
        <v>0</v>
      </c>
      <c r="Z88" s="10">
        <f>IF(Inställningar!$B$5="",0,Inställningar!$B$5)</f>
        <v>850</v>
      </c>
      <c r="AA88" s="10">
        <f t="shared" si="14"/>
        <v>0</v>
      </c>
      <c r="AB88" s="4"/>
      <c r="AC88" s="13">
        <f>IF(Inställningar!$B$6="",0,Inställningar!$B$6)</f>
        <v>0.15</v>
      </c>
      <c r="AD88" s="10">
        <f t="shared" si="15"/>
        <v>0</v>
      </c>
      <c r="AE88" s="12"/>
    </row>
    <row r="89" spans="1:3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2"/>
      <c r="R89" s="12"/>
      <c r="S89" s="12"/>
      <c r="T89" s="12"/>
      <c r="U89" s="12"/>
      <c r="V89" s="18"/>
      <c r="W89" s="10">
        <f t="shared" si="12"/>
        <v>0</v>
      </c>
      <c r="X89" s="11"/>
      <c r="Y89" s="11">
        <f t="shared" si="13"/>
        <v>0</v>
      </c>
      <c r="Z89" s="10">
        <f>IF(Inställningar!$B$5="",0,Inställningar!$B$5)</f>
        <v>850</v>
      </c>
      <c r="AA89" s="10">
        <f t="shared" si="14"/>
        <v>0</v>
      </c>
      <c r="AB89" s="4"/>
      <c r="AC89" s="13">
        <f>IF(Inställningar!$B$6="",0,Inställningar!$B$6)</f>
        <v>0.15</v>
      </c>
      <c r="AD89" s="10">
        <f t="shared" si="15"/>
        <v>0</v>
      </c>
      <c r="AE89" s="12"/>
    </row>
    <row r="90" spans="1:3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12"/>
      <c r="R90" s="12"/>
      <c r="S90" s="12"/>
      <c r="T90" s="12"/>
      <c r="U90" s="12"/>
      <c r="V90" s="18"/>
      <c r="W90" s="10">
        <f t="shared" si="12"/>
        <v>0</v>
      </c>
      <c r="X90" s="11"/>
      <c r="Y90" s="11">
        <f t="shared" si="13"/>
        <v>0</v>
      </c>
      <c r="Z90" s="10">
        <f>IF(Inställningar!$B$5="",0,Inställningar!$B$5)</f>
        <v>850</v>
      </c>
      <c r="AA90" s="10">
        <f t="shared" si="14"/>
        <v>0</v>
      </c>
      <c r="AB90" s="4"/>
      <c r="AC90" s="13">
        <f>IF(Inställningar!$B$6="",0,Inställningar!$B$6)</f>
        <v>0.15</v>
      </c>
      <c r="AD90" s="10">
        <f t="shared" si="15"/>
        <v>0</v>
      </c>
      <c r="AE90" s="12"/>
    </row>
    <row r="91" spans="1:3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12"/>
      <c r="R91" s="12"/>
      <c r="S91" s="12"/>
      <c r="T91" s="12"/>
      <c r="U91" s="12"/>
      <c r="V91" s="18"/>
      <c r="W91" s="10">
        <f t="shared" si="12"/>
        <v>0</v>
      </c>
      <c r="X91" s="11"/>
      <c r="Y91" s="11">
        <f t="shared" si="13"/>
        <v>0</v>
      </c>
      <c r="Z91" s="10">
        <f>IF(Inställningar!$B$5="",0,Inställningar!$B$5)</f>
        <v>850</v>
      </c>
      <c r="AA91" s="10">
        <f t="shared" si="14"/>
        <v>0</v>
      </c>
      <c r="AB91" s="4"/>
      <c r="AC91" s="13">
        <f>IF(Inställningar!$B$6="",0,Inställningar!$B$6)</f>
        <v>0.15</v>
      </c>
      <c r="AD91" s="10">
        <f t="shared" si="15"/>
        <v>0</v>
      </c>
      <c r="AE91" s="12"/>
    </row>
    <row r="92" spans="1:3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12"/>
      <c r="R92" s="12"/>
      <c r="S92" s="12"/>
      <c r="T92" s="12"/>
      <c r="U92" s="12"/>
      <c r="V92" s="18"/>
      <c r="W92" s="10">
        <f t="shared" si="12"/>
        <v>0</v>
      </c>
      <c r="X92" s="11"/>
      <c r="Y92" s="11">
        <f t="shared" si="13"/>
        <v>0</v>
      </c>
      <c r="Z92" s="10">
        <f>IF(Inställningar!$B$5="",0,Inställningar!$B$5)</f>
        <v>850</v>
      </c>
      <c r="AA92" s="10">
        <f t="shared" si="14"/>
        <v>0</v>
      </c>
      <c r="AB92" s="4"/>
      <c r="AC92" s="13">
        <f>IF(Inställningar!$B$6="",0,Inställningar!$B$6)</f>
        <v>0.15</v>
      </c>
      <c r="AD92" s="10">
        <f t="shared" si="15"/>
        <v>0</v>
      </c>
      <c r="AE92" s="12"/>
    </row>
    <row r="93" spans="1:3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12"/>
      <c r="R93" s="12"/>
      <c r="S93" s="12"/>
      <c r="T93" s="12"/>
      <c r="U93" s="12"/>
      <c r="V93" s="18"/>
      <c r="W93" s="10">
        <f t="shared" si="12"/>
        <v>0</v>
      </c>
      <c r="X93" s="11"/>
      <c r="Y93" s="11">
        <f t="shared" si="13"/>
        <v>0</v>
      </c>
      <c r="Z93" s="10">
        <f>IF(Inställningar!$B$5="",0,Inställningar!$B$5)</f>
        <v>850</v>
      </c>
      <c r="AA93" s="10">
        <f t="shared" si="14"/>
        <v>0</v>
      </c>
      <c r="AB93" s="4"/>
      <c r="AC93" s="13">
        <f>IF(Inställningar!$B$6="",0,Inställningar!$B$6)</f>
        <v>0.15</v>
      </c>
      <c r="AD93" s="10">
        <f t="shared" si="15"/>
        <v>0</v>
      </c>
      <c r="AE93" s="12"/>
    </row>
    <row r="94" spans="1:3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12"/>
      <c r="R94" s="12"/>
      <c r="S94" s="12"/>
      <c r="T94" s="12"/>
      <c r="U94" s="12"/>
      <c r="V94" s="18"/>
      <c r="W94" s="10">
        <f t="shared" si="12"/>
        <v>0</v>
      </c>
      <c r="X94" s="11"/>
      <c r="Y94" s="11">
        <f t="shared" si="13"/>
        <v>0</v>
      </c>
      <c r="Z94" s="10">
        <f>IF(Inställningar!$B$5="",0,Inställningar!$B$5)</f>
        <v>850</v>
      </c>
      <c r="AA94" s="10">
        <f t="shared" si="14"/>
        <v>0</v>
      </c>
      <c r="AB94" s="4"/>
      <c r="AC94" s="13">
        <f>IF(Inställningar!$B$6="",0,Inställningar!$B$6)</f>
        <v>0.15</v>
      </c>
      <c r="AD94" s="10">
        <f t="shared" si="15"/>
        <v>0</v>
      </c>
      <c r="AE94" s="12"/>
    </row>
    <row r="95" spans="1:3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12"/>
      <c r="R95" s="12"/>
      <c r="S95" s="12"/>
      <c r="T95" s="12"/>
      <c r="U95" s="12"/>
      <c r="V95" s="18"/>
      <c r="W95" s="10">
        <f t="shared" si="12"/>
        <v>0</v>
      </c>
      <c r="X95" s="11"/>
      <c r="Y95" s="11">
        <f t="shared" si="13"/>
        <v>0</v>
      </c>
      <c r="Z95" s="10">
        <f>IF(Inställningar!$B$5="",0,Inställningar!$B$5)</f>
        <v>850</v>
      </c>
      <c r="AA95" s="10">
        <f t="shared" si="14"/>
        <v>0</v>
      </c>
      <c r="AB95" s="4"/>
      <c r="AC95" s="13">
        <f>IF(Inställningar!$B$6="",0,Inställningar!$B$6)</f>
        <v>0.15</v>
      </c>
      <c r="AD95" s="10">
        <f t="shared" si="15"/>
        <v>0</v>
      </c>
      <c r="AE95" s="12"/>
    </row>
    <row r="96" spans="1:3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12"/>
      <c r="R96" s="12"/>
      <c r="S96" s="12"/>
      <c r="T96" s="12"/>
      <c r="U96" s="12"/>
      <c r="V96" s="18"/>
      <c r="W96" s="10">
        <f t="shared" si="12"/>
        <v>0</v>
      </c>
      <c r="X96" s="11"/>
      <c r="Y96" s="11">
        <f t="shared" si="13"/>
        <v>0</v>
      </c>
      <c r="Z96" s="10">
        <f>IF(Inställningar!$B$5="",0,Inställningar!$B$5)</f>
        <v>850</v>
      </c>
      <c r="AA96" s="10">
        <f t="shared" si="14"/>
        <v>0</v>
      </c>
      <c r="AB96" s="4"/>
      <c r="AC96" s="13">
        <f>IF(Inställningar!$B$6="",0,Inställningar!$B$6)</f>
        <v>0.15</v>
      </c>
      <c r="AD96" s="10">
        <f t="shared" si="15"/>
        <v>0</v>
      </c>
      <c r="AE96" s="12"/>
    </row>
    <row r="97" spans="1:3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2"/>
      <c r="R97" s="12"/>
      <c r="S97" s="12"/>
      <c r="T97" s="12"/>
      <c r="U97" s="12"/>
      <c r="V97" s="18"/>
      <c r="W97" s="10">
        <f t="shared" si="12"/>
        <v>0</v>
      </c>
      <c r="X97" s="11"/>
      <c r="Y97" s="11">
        <f t="shared" si="13"/>
        <v>0</v>
      </c>
      <c r="Z97" s="10">
        <f>IF(Inställningar!$B$5="",0,Inställningar!$B$5)</f>
        <v>850</v>
      </c>
      <c r="AA97" s="10">
        <f t="shared" si="14"/>
        <v>0</v>
      </c>
      <c r="AB97" s="4"/>
      <c r="AC97" s="13">
        <f>IF(Inställningar!$B$6="",0,Inställningar!$B$6)</f>
        <v>0.15</v>
      </c>
      <c r="AD97" s="10">
        <f t="shared" si="15"/>
        <v>0</v>
      </c>
      <c r="AE97" s="12"/>
    </row>
    <row r="98" spans="1:3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12"/>
      <c r="R98" s="12"/>
      <c r="S98" s="12"/>
      <c r="T98" s="12"/>
      <c r="U98" s="12"/>
      <c r="V98" s="18"/>
      <c r="W98" s="10">
        <f t="shared" si="12"/>
        <v>0</v>
      </c>
      <c r="X98" s="11"/>
      <c r="Y98" s="11">
        <f t="shared" si="13"/>
        <v>0</v>
      </c>
      <c r="Z98" s="10">
        <f>IF(Inställningar!$B$5="",0,Inställningar!$B$5)</f>
        <v>850</v>
      </c>
      <c r="AA98" s="10">
        <f t="shared" si="14"/>
        <v>0</v>
      </c>
      <c r="AB98" s="4"/>
      <c r="AC98" s="13">
        <f>IF(Inställningar!$B$6="",0,Inställningar!$B$6)</f>
        <v>0.15</v>
      </c>
      <c r="AD98" s="10">
        <f t="shared" si="15"/>
        <v>0</v>
      </c>
      <c r="AE98" s="12"/>
    </row>
    <row r="99" spans="1:3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2"/>
      <c r="R99" s="12"/>
      <c r="S99" s="12"/>
      <c r="T99" s="12"/>
      <c r="U99" s="12"/>
      <c r="V99" s="18"/>
      <c r="W99" s="10">
        <f t="shared" si="12"/>
        <v>0</v>
      </c>
      <c r="X99" s="11"/>
      <c r="Y99" s="11">
        <f t="shared" si="13"/>
        <v>0</v>
      </c>
      <c r="Z99" s="10">
        <f>IF(Inställningar!$B$5="",0,Inställningar!$B$5)</f>
        <v>850</v>
      </c>
      <c r="AA99" s="10">
        <f t="shared" si="14"/>
        <v>0</v>
      </c>
      <c r="AB99" s="4"/>
      <c r="AC99" s="13">
        <f>IF(Inställningar!$B$6="",0,Inställningar!$B$6)</f>
        <v>0.15</v>
      </c>
      <c r="AD99" s="10">
        <f t="shared" si="15"/>
        <v>0</v>
      </c>
      <c r="AE99" s="12"/>
    </row>
    <row r="100" spans="1:3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2"/>
      <c r="R100" s="12"/>
      <c r="S100" s="12"/>
      <c r="T100" s="12"/>
      <c r="U100" s="12"/>
      <c r="V100" s="18"/>
      <c r="W100" s="10">
        <f t="shared" si="12"/>
        <v>0</v>
      </c>
      <c r="X100" s="11"/>
      <c r="Y100" s="11">
        <f t="shared" si="13"/>
        <v>0</v>
      </c>
      <c r="Z100" s="10">
        <f>IF(Inställningar!$B$5="",0,Inställningar!$B$5)</f>
        <v>850</v>
      </c>
      <c r="AA100" s="10">
        <f t="shared" si="14"/>
        <v>0</v>
      </c>
      <c r="AB100" s="4"/>
      <c r="AC100" s="13">
        <f>IF(Inställningar!$B$6="",0,Inställningar!$B$6)</f>
        <v>0.15</v>
      </c>
      <c r="AD100" s="10">
        <f t="shared" si="15"/>
        <v>0</v>
      </c>
      <c r="AE100" s="12"/>
    </row>
    <row r="101" spans="1:3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2"/>
      <c r="R101" s="12"/>
      <c r="S101" s="12"/>
      <c r="T101" s="12"/>
      <c r="U101" s="12"/>
      <c r="V101" s="18"/>
      <c r="W101" s="10">
        <f t="shared" si="12"/>
        <v>0</v>
      </c>
      <c r="X101" s="11"/>
      <c r="Y101" s="11">
        <f t="shared" si="13"/>
        <v>0</v>
      </c>
      <c r="Z101" s="10">
        <f>IF(Inställningar!$B$5="",0,Inställningar!$B$5)</f>
        <v>850</v>
      </c>
      <c r="AA101" s="10">
        <f t="shared" si="14"/>
        <v>0</v>
      </c>
      <c r="AB101" s="4"/>
      <c r="AC101" s="13">
        <f>IF(Inställningar!$B$6="",0,Inställningar!$B$6)</f>
        <v>0.15</v>
      </c>
      <c r="AD101" s="10">
        <f t="shared" si="15"/>
        <v>0</v>
      </c>
      <c r="AE101" s="12"/>
    </row>
    <row r="102" spans="1:3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2"/>
      <c r="R102" s="12"/>
      <c r="S102" s="12"/>
      <c r="T102" s="12"/>
      <c r="U102" s="12"/>
      <c r="V102" s="18"/>
      <c r="W102" s="10">
        <f t="shared" si="12"/>
        <v>0</v>
      </c>
      <c r="X102" s="11"/>
      <c r="Y102" s="11">
        <f t="shared" si="13"/>
        <v>0</v>
      </c>
      <c r="Z102" s="10">
        <f>IF(Inställningar!$B$5="",0,Inställningar!$B$5)</f>
        <v>850</v>
      </c>
      <c r="AA102" s="10">
        <f t="shared" si="14"/>
        <v>0</v>
      </c>
      <c r="AB102" s="4"/>
      <c r="AC102" s="13">
        <f>IF(Inställningar!$B$6="",0,Inställningar!$B$6)</f>
        <v>0.15</v>
      </c>
      <c r="AD102" s="10">
        <f t="shared" si="15"/>
        <v>0</v>
      </c>
      <c r="AE102" s="12"/>
    </row>
    <row r="103" spans="1:3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2"/>
      <c r="R103" s="12"/>
      <c r="S103" s="12"/>
      <c r="T103" s="12"/>
      <c r="U103" s="12"/>
      <c r="V103" s="18"/>
      <c r="W103" s="10">
        <f t="shared" ref="W103:W134" si="16">IF(OR(T103="",V103=""),0,T103*V103)</f>
        <v>0</v>
      </c>
      <c r="X103" s="11"/>
      <c r="Y103" s="11">
        <f t="shared" ref="Y103:Y134" si="17">IF(OR(T103="",X103=""),0,T103*X103)</f>
        <v>0</v>
      </c>
      <c r="Z103" s="10">
        <f>IF(Inställningar!$B$5="",0,Inställningar!$B$5)</f>
        <v>850</v>
      </c>
      <c r="AA103" s="10">
        <f t="shared" ref="AA103:AA134" si="18">Y103*Z103</f>
        <v>0</v>
      </c>
      <c r="AB103" s="4"/>
      <c r="AC103" s="13">
        <f>IF(Inställningar!$B$6="",0,Inställningar!$B$6)</f>
        <v>0.15</v>
      </c>
      <c r="AD103" s="10">
        <f t="shared" ref="AD103:AD134" si="19">ROUND((W103+AA103+IF(AB103="",0,AB103))*(1+AC103),0)</f>
        <v>0</v>
      </c>
      <c r="AE103" s="12"/>
    </row>
    <row r="104" spans="1:3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2"/>
      <c r="R104" s="12"/>
      <c r="S104" s="12"/>
      <c r="T104" s="12"/>
      <c r="U104" s="12"/>
      <c r="V104" s="18"/>
      <c r="W104" s="10">
        <f t="shared" si="16"/>
        <v>0</v>
      </c>
      <c r="X104" s="11"/>
      <c r="Y104" s="11">
        <f t="shared" si="17"/>
        <v>0</v>
      </c>
      <c r="Z104" s="10">
        <f>IF(Inställningar!$B$5="",0,Inställningar!$B$5)</f>
        <v>850</v>
      </c>
      <c r="AA104" s="10">
        <f t="shared" si="18"/>
        <v>0</v>
      </c>
      <c r="AB104" s="4"/>
      <c r="AC104" s="13">
        <f>IF(Inställningar!$B$6="",0,Inställningar!$B$6)</f>
        <v>0.15</v>
      </c>
      <c r="AD104" s="10">
        <f t="shared" si="19"/>
        <v>0</v>
      </c>
      <c r="AE104" s="12"/>
    </row>
    <row r="105" spans="1:3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2"/>
      <c r="R105" s="12"/>
      <c r="S105" s="12"/>
      <c r="T105" s="12"/>
      <c r="U105" s="12"/>
      <c r="V105" s="18"/>
      <c r="W105" s="10">
        <f t="shared" si="16"/>
        <v>0</v>
      </c>
      <c r="X105" s="11"/>
      <c r="Y105" s="11">
        <f t="shared" si="17"/>
        <v>0</v>
      </c>
      <c r="Z105" s="10">
        <f>IF(Inställningar!$B$5="",0,Inställningar!$B$5)</f>
        <v>850</v>
      </c>
      <c r="AA105" s="10">
        <f t="shared" si="18"/>
        <v>0</v>
      </c>
      <c r="AB105" s="4"/>
      <c r="AC105" s="13">
        <f>IF(Inställningar!$B$6="",0,Inställningar!$B$6)</f>
        <v>0.15</v>
      </c>
      <c r="AD105" s="10">
        <f t="shared" si="19"/>
        <v>0</v>
      </c>
      <c r="AE105" s="12"/>
    </row>
    <row r="106" spans="1:3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2"/>
      <c r="R106" s="12"/>
      <c r="S106" s="12"/>
      <c r="T106" s="12"/>
      <c r="U106" s="12"/>
      <c r="V106" s="18"/>
      <c r="W106" s="10">
        <f t="shared" si="16"/>
        <v>0</v>
      </c>
      <c r="X106" s="11"/>
      <c r="Y106" s="11">
        <f t="shared" si="17"/>
        <v>0</v>
      </c>
      <c r="Z106" s="10">
        <f>IF(Inställningar!$B$5="",0,Inställningar!$B$5)</f>
        <v>850</v>
      </c>
      <c r="AA106" s="10">
        <f t="shared" si="18"/>
        <v>0</v>
      </c>
      <c r="AB106" s="4"/>
      <c r="AC106" s="13">
        <f>IF(Inställningar!$B$6="",0,Inställningar!$B$6)</f>
        <v>0.15</v>
      </c>
      <c r="AD106" s="10">
        <f t="shared" si="19"/>
        <v>0</v>
      </c>
      <c r="AE106" s="12"/>
    </row>
    <row r="107" spans="1:3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2"/>
      <c r="R107" s="12"/>
      <c r="S107" s="12"/>
      <c r="T107" s="12"/>
      <c r="U107" s="12"/>
      <c r="V107" s="18"/>
      <c r="W107" s="10">
        <f t="shared" si="16"/>
        <v>0</v>
      </c>
      <c r="X107" s="11"/>
      <c r="Y107" s="11">
        <f t="shared" si="17"/>
        <v>0</v>
      </c>
      <c r="Z107" s="10">
        <f>IF(Inställningar!$B$5="",0,Inställningar!$B$5)</f>
        <v>850</v>
      </c>
      <c r="AA107" s="10">
        <f t="shared" si="18"/>
        <v>0</v>
      </c>
      <c r="AB107" s="4"/>
      <c r="AC107" s="13">
        <f>IF(Inställningar!$B$6="",0,Inställningar!$B$6)</f>
        <v>0.15</v>
      </c>
      <c r="AD107" s="10">
        <f t="shared" si="19"/>
        <v>0</v>
      </c>
      <c r="AE107" s="12"/>
    </row>
    <row r="108" spans="1:3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2"/>
      <c r="R108" s="12"/>
      <c r="S108" s="12"/>
      <c r="T108" s="12"/>
      <c r="U108" s="12"/>
      <c r="V108" s="18"/>
      <c r="W108" s="10">
        <f t="shared" si="16"/>
        <v>0</v>
      </c>
      <c r="X108" s="11"/>
      <c r="Y108" s="11">
        <f t="shared" si="17"/>
        <v>0</v>
      </c>
      <c r="Z108" s="10">
        <f>IF(Inställningar!$B$5="",0,Inställningar!$B$5)</f>
        <v>850</v>
      </c>
      <c r="AA108" s="10">
        <f t="shared" si="18"/>
        <v>0</v>
      </c>
      <c r="AB108" s="4"/>
      <c r="AC108" s="13">
        <f>IF(Inställningar!$B$6="",0,Inställningar!$B$6)</f>
        <v>0.15</v>
      </c>
      <c r="AD108" s="10">
        <f t="shared" si="19"/>
        <v>0</v>
      </c>
      <c r="AE108" s="12"/>
    </row>
    <row r="109" spans="1:3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2"/>
      <c r="R109" s="12"/>
      <c r="S109" s="12"/>
      <c r="T109" s="12"/>
      <c r="U109" s="12"/>
      <c r="V109" s="18"/>
      <c r="W109" s="10">
        <f t="shared" si="16"/>
        <v>0</v>
      </c>
      <c r="X109" s="11"/>
      <c r="Y109" s="11">
        <f t="shared" si="17"/>
        <v>0</v>
      </c>
      <c r="Z109" s="10">
        <f>IF(Inställningar!$B$5="",0,Inställningar!$B$5)</f>
        <v>850</v>
      </c>
      <c r="AA109" s="10">
        <f t="shared" si="18"/>
        <v>0</v>
      </c>
      <c r="AB109" s="4"/>
      <c r="AC109" s="13">
        <f>IF(Inställningar!$B$6="",0,Inställningar!$B$6)</f>
        <v>0.15</v>
      </c>
      <c r="AD109" s="10">
        <f t="shared" si="19"/>
        <v>0</v>
      </c>
      <c r="AE109" s="12"/>
    </row>
    <row r="110" spans="1:3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2"/>
      <c r="R110" s="12"/>
      <c r="S110" s="12"/>
      <c r="T110" s="12"/>
      <c r="U110" s="12"/>
      <c r="V110" s="18"/>
      <c r="W110" s="10">
        <f t="shared" si="16"/>
        <v>0</v>
      </c>
      <c r="X110" s="11"/>
      <c r="Y110" s="11">
        <f t="shared" si="17"/>
        <v>0</v>
      </c>
      <c r="Z110" s="10">
        <f>IF(Inställningar!$B$5="",0,Inställningar!$B$5)</f>
        <v>850</v>
      </c>
      <c r="AA110" s="10">
        <f t="shared" si="18"/>
        <v>0</v>
      </c>
      <c r="AB110" s="4"/>
      <c r="AC110" s="13">
        <f>IF(Inställningar!$B$6="",0,Inställningar!$B$6)</f>
        <v>0.15</v>
      </c>
      <c r="AD110" s="10">
        <f t="shared" si="19"/>
        <v>0</v>
      </c>
      <c r="AE110" s="12"/>
    </row>
    <row r="111" spans="1:3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2"/>
      <c r="R111" s="12"/>
      <c r="S111" s="12"/>
      <c r="T111" s="12"/>
      <c r="U111" s="12"/>
      <c r="V111" s="18"/>
      <c r="W111" s="10">
        <f t="shared" si="16"/>
        <v>0</v>
      </c>
      <c r="X111" s="11"/>
      <c r="Y111" s="11">
        <f t="shared" si="17"/>
        <v>0</v>
      </c>
      <c r="Z111" s="10">
        <f>IF(Inställningar!$B$5="",0,Inställningar!$B$5)</f>
        <v>850</v>
      </c>
      <c r="AA111" s="10">
        <f t="shared" si="18"/>
        <v>0</v>
      </c>
      <c r="AB111" s="4"/>
      <c r="AC111" s="13">
        <f>IF(Inställningar!$B$6="",0,Inställningar!$B$6)</f>
        <v>0.15</v>
      </c>
      <c r="AD111" s="10">
        <f t="shared" si="19"/>
        <v>0</v>
      </c>
      <c r="AE111" s="12"/>
    </row>
    <row r="112" spans="1:3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2"/>
      <c r="R112" s="12"/>
      <c r="S112" s="12"/>
      <c r="T112" s="12"/>
      <c r="U112" s="12"/>
      <c r="V112" s="18"/>
      <c r="W112" s="10">
        <f t="shared" si="16"/>
        <v>0</v>
      </c>
      <c r="X112" s="11"/>
      <c r="Y112" s="11">
        <f t="shared" si="17"/>
        <v>0</v>
      </c>
      <c r="Z112" s="10">
        <f>IF(Inställningar!$B$5="",0,Inställningar!$B$5)</f>
        <v>850</v>
      </c>
      <c r="AA112" s="10">
        <f t="shared" si="18"/>
        <v>0</v>
      </c>
      <c r="AB112" s="4"/>
      <c r="AC112" s="13">
        <f>IF(Inställningar!$B$6="",0,Inställningar!$B$6)</f>
        <v>0.15</v>
      </c>
      <c r="AD112" s="10">
        <f t="shared" si="19"/>
        <v>0</v>
      </c>
      <c r="AE112" s="12"/>
    </row>
    <row r="113" spans="1:3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2"/>
      <c r="R113" s="12"/>
      <c r="S113" s="12"/>
      <c r="T113" s="12"/>
      <c r="U113" s="12"/>
      <c r="V113" s="18"/>
      <c r="W113" s="10">
        <f t="shared" si="16"/>
        <v>0</v>
      </c>
      <c r="X113" s="11"/>
      <c r="Y113" s="11">
        <f t="shared" si="17"/>
        <v>0</v>
      </c>
      <c r="Z113" s="10">
        <f>IF(Inställningar!$B$5="",0,Inställningar!$B$5)</f>
        <v>850</v>
      </c>
      <c r="AA113" s="10">
        <f t="shared" si="18"/>
        <v>0</v>
      </c>
      <c r="AB113" s="4"/>
      <c r="AC113" s="13">
        <f>IF(Inställningar!$B$6="",0,Inställningar!$B$6)</f>
        <v>0.15</v>
      </c>
      <c r="AD113" s="10">
        <f t="shared" si="19"/>
        <v>0</v>
      </c>
      <c r="AE113" s="12"/>
    </row>
    <row r="114" spans="1:3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2"/>
      <c r="R114" s="12"/>
      <c r="S114" s="12"/>
      <c r="T114" s="12"/>
      <c r="U114" s="12"/>
      <c r="V114" s="18"/>
      <c r="W114" s="10">
        <f t="shared" si="16"/>
        <v>0</v>
      </c>
      <c r="X114" s="11"/>
      <c r="Y114" s="11">
        <f t="shared" si="17"/>
        <v>0</v>
      </c>
      <c r="Z114" s="10">
        <f>IF(Inställningar!$B$5="",0,Inställningar!$B$5)</f>
        <v>850</v>
      </c>
      <c r="AA114" s="10">
        <f t="shared" si="18"/>
        <v>0</v>
      </c>
      <c r="AB114" s="4"/>
      <c r="AC114" s="13">
        <f>IF(Inställningar!$B$6="",0,Inställningar!$B$6)</f>
        <v>0.15</v>
      </c>
      <c r="AD114" s="10">
        <f t="shared" si="19"/>
        <v>0</v>
      </c>
      <c r="AE114" s="12"/>
    </row>
    <row r="115" spans="1:3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2"/>
      <c r="R115" s="12"/>
      <c r="S115" s="12"/>
      <c r="T115" s="12"/>
      <c r="U115" s="12"/>
      <c r="V115" s="18"/>
      <c r="W115" s="10">
        <f t="shared" si="16"/>
        <v>0</v>
      </c>
      <c r="X115" s="11"/>
      <c r="Y115" s="11">
        <f t="shared" si="17"/>
        <v>0</v>
      </c>
      <c r="Z115" s="10">
        <f>IF(Inställningar!$B$5="",0,Inställningar!$B$5)</f>
        <v>850</v>
      </c>
      <c r="AA115" s="10">
        <f t="shared" si="18"/>
        <v>0</v>
      </c>
      <c r="AB115" s="4"/>
      <c r="AC115" s="13">
        <f>IF(Inställningar!$B$6="",0,Inställningar!$B$6)</f>
        <v>0.15</v>
      </c>
      <c r="AD115" s="10">
        <f t="shared" si="19"/>
        <v>0</v>
      </c>
      <c r="AE115" s="12"/>
    </row>
    <row r="116" spans="1:3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2"/>
      <c r="R116" s="12"/>
      <c r="S116" s="12"/>
      <c r="T116" s="12"/>
      <c r="U116" s="12"/>
      <c r="V116" s="18"/>
      <c r="W116" s="10">
        <f t="shared" si="16"/>
        <v>0</v>
      </c>
      <c r="X116" s="11"/>
      <c r="Y116" s="11">
        <f t="shared" si="17"/>
        <v>0</v>
      </c>
      <c r="Z116" s="10">
        <f>IF(Inställningar!$B$5="",0,Inställningar!$B$5)</f>
        <v>850</v>
      </c>
      <c r="AA116" s="10">
        <f t="shared" si="18"/>
        <v>0</v>
      </c>
      <c r="AB116" s="4"/>
      <c r="AC116" s="13">
        <f>IF(Inställningar!$B$6="",0,Inställningar!$B$6)</f>
        <v>0.15</v>
      </c>
      <c r="AD116" s="10">
        <f t="shared" si="19"/>
        <v>0</v>
      </c>
      <c r="AE116" s="12"/>
    </row>
    <row r="117" spans="1:3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2"/>
      <c r="R117" s="12"/>
      <c r="S117" s="12"/>
      <c r="T117" s="12"/>
      <c r="U117" s="12"/>
      <c r="V117" s="18"/>
      <c r="W117" s="10">
        <f t="shared" si="16"/>
        <v>0</v>
      </c>
      <c r="X117" s="11"/>
      <c r="Y117" s="11">
        <f t="shared" si="17"/>
        <v>0</v>
      </c>
      <c r="Z117" s="10">
        <f>IF(Inställningar!$B$5="",0,Inställningar!$B$5)</f>
        <v>850</v>
      </c>
      <c r="AA117" s="10">
        <f t="shared" si="18"/>
        <v>0</v>
      </c>
      <c r="AB117" s="4"/>
      <c r="AC117" s="13">
        <f>IF(Inställningar!$B$6="",0,Inställningar!$B$6)</f>
        <v>0.15</v>
      </c>
      <c r="AD117" s="10">
        <f t="shared" si="19"/>
        <v>0</v>
      </c>
      <c r="AE117" s="12"/>
    </row>
    <row r="118" spans="1:3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2"/>
      <c r="R118" s="12"/>
      <c r="S118" s="12"/>
      <c r="T118" s="12"/>
      <c r="U118" s="12"/>
      <c r="V118" s="18"/>
      <c r="W118" s="10">
        <f t="shared" si="16"/>
        <v>0</v>
      </c>
      <c r="X118" s="11"/>
      <c r="Y118" s="11">
        <f t="shared" si="17"/>
        <v>0</v>
      </c>
      <c r="Z118" s="10">
        <f>IF(Inställningar!$B$5="",0,Inställningar!$B$5)</f>
        <v>850</v>
      </c>
      <c r="AA118" s="10">
        <f t="shared" si="18"/>
        <v>0</v>
      </c>
      <c r="AB118" s="4"/>
      <c r="AC118" s="13">
        <f>IF(Inställningar!$B$6="",0,Inställningar!$B$6)</f>
        <v>0.15</v>
      </c>
      <c r="AD118" s="10">
        <f t="shared" si="19"/>
        <v>0</v>
      </c>
      <c r="AE118" s="12"/>
    </row>
    <row r="119" spans="1:3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2"/>
      <c r="R119" s="12"/>
      <c r="S119" s="12"/>
      <c r="T119" s="12"/>
      <c r="U119" s="12"/>
      <c r="V119" s="18"/>
      <c r="W119" s="10">
        <f t="shared" si="16"/>
        <v>0</v>
      </c>
      <c r="X119" s="11"/>
      <c r="Y119" s="11">
        <f t="shared" si="17"/>
        <v>0</v>
      </c>
      <c r="Z119" s="10">
        <f>IF(Inställningar!$B$5="",0,Inställningar!$B$5)</f>
        <v>850</v>
      </c>
      <c r="AA119" s="10">
        <f t="shared" si="18"/>
        <v>0</v>
      </c>
      <c r="AB119" s="4"/>
      <c r="AC119" s="13">
        <f>IF(Inställningar!$B$6="",0,Inställningar!$B$6)</f>
        <v>0.15</v>
      </c>
      <c r="AD119" s="10">
        <f t="shared" si="19"/>
        <v>0</v>
      </c>
      <c r="AE119" s="12"/>
    </row>
    <row r="120" spans="1:3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2"/>
      <c r="R120" s="12"/>
      <c r="S120" s="12"/>
      <c r="T120" s="12"/>
      <c r="U120" s="12"/>
      <c r="V120" s="18"/>
      <c r="W120" s="10">
        <f t="shared" si="16"/>
        <v>0</v>
      </c>
      <c r="X120" s="11"/>
      <c r="Y120" s="11">
        <f t="shared" si="17"/>
        <v>0</v>
      </c>
      <c r="Z120" s="10">
        <f>IF(Inställningar!$B$5="",0,Inställningar!$B$5)</f>
        <v>850</v>
      </c>
      <c r="AA120" s="10">
        <f t="shared" si="18"/>
        <v>0</v>
      </c>
      <c r="AB120" s="4"/>
      <c r="AC120" s="13">
        <f>IF(Inställningar!$B$6="",0,Inställningar!$B$6)</f>
        <v>0.15</v>
      </c>
      <c r="AD120" s="10">
        <f t="shared" si="19"/>
        <v>0</v>
      </c>
      <c r="AE120" s="12"/>
    </row>
    <row r="121" spans="1:3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2"/>
      <c r="R121" s="12"/>
      <c r="S121" s="12"/>
      <c r="T121" s="12"/>
      <c r="U121" s="12"/>
      <c r="V121" s="18"/>
      <c r="W121" s="10">
        <f t="shared" si="16"/>
        <v>0</v>
      </c>
      <c r="X121" s="11"/>
      <c r="Y121" s="11">
        <f t="shared" si="17"/>
        <v>0</v>
      </c>
      <c r="Z121" s="10">
        <f>IF(Inställningar!$B$5="",0,Inställningar!$B$5)</f>
        <v>850</v>
      </c>
      <c r="AA121" s="10">
        <f t="shared" si="18"/>
        <v>0</v>
      </c>
      <c r="AB121" s="4"/>
      <c r="AC121" s="13">
        <f>IF(Inställningar!$B$6="",0,Inställningar!$B$6)</f>
        <v>0.15</v>
      </c>
      <c r="AD121" s="10">
        <f t="shared" si="19"/>
        <v>0</v>
      </c>
      <c r="AE121" s="12"/>
    </row>
    <row r="122" spans="1:3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2"/>
      <c r="R122" s="12"/>
      <c r="S122" s="12"/>
      <c r="T122" s="12"/>
      <c r="U122" s="12"/>
      <c r="V122" s="18"/>
      <c r="W122" s="10">
        <f t="shared" si="16"/>
        <v>0</v>
      </c>
      <c r="X122" s="11"/>
      <c r="Y122" s="11">
        <f t="shared" si="17"/>
        <v>0</v>
      </c>
      <c r="Z122" s="10">
        <f>IF(Inställningar!$B$5="",0,Inställningar!$B$5)</f>
        <v>850</v>
      </c>
      <c r="AA122" s="10">
        <f t="shared" si="18"/>
        <v>0</v>
      </c>
      <c r="AB122" s="4"/>
      <c r="AC122" s="13">
        <f>IF(Inställningar!$B$6="",0,Inställningar!$B$6)</f>
        <v>0.15</v>
      </c>
      <c r="AD122" s="10">
        <f t="shared" si="19"/>
        <v>0</v>
      </c>
      <c r="AE122" s="12"/>
    </row>
    <row r="123" spans="1:3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2"/>
      <c r="R123" s="12"/>
      <c r="S123" s="12"/>
      <c r="T123" s="12"/>
      <c r="U123" s="12"/>
      <c r="V123" s="18"/>
      <c r="W123" s="10">
        <f t="shared" si="16"/>
        <v>0</v>
      </c>
      <c r="X123" s="11"/>
      <c r="Y123" s="11">
        <f t="shared" si="17"/>
        <v>0</v>
      </c>
      <c r="Z123" s="10">
        <f>IF(Inställningar!$B$5="",0,Inställningar!$B$5)</f>
        <v>850</v>
      </c>
      <c r="AA123" s="10">
        <f t="shared" si="18"/>
        <v>0</v>
      </c>
      <c r="AB123" s="4"/>
      <c r="AC123" s="13">
        <f>IF(Inställningar!$B$6="",0,Inställningar!$B$6)</f>
        <v>0.15</v>
      </c>
      <c r="AD123" s="10">
        <f t="shared" si="19"/>
        <v>0</v>
      </c>
      <c r="AE123" s="12"/>
    </row>
    <row r="124" spans="1:3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2"/>
      <c r="R124" s="12"/>
      <c r="S124" s="12"/>
      <c r="T124" s="12"/>
      <c r="U124" s="12"/>
      <c r="V124" s="18"/>
      <c r="W124" s="10">
        <f t="shared" si="16"/>
        <v>0</v>
      </c>
      <c r="X124" s="11"/>
      <c r="Y124" s="11">
        <f t="shared" si="17"/>
        <v>0</v>
      </c>
      <c r="Z124" s="10">
        <f>IF(Inställningar!$B$5="",0,Inställningar!$B$5)</f>
        <v>850</v>
      </c>
      <c r="AA124" s="10">
        <f t="shared" si="18"/>
        <v>0</v>
      </c>
      <c r="AB124" s="4"/>
      <c r="AC124" s="13">
        <f>IF(Inställningar!$B$6="",0,Inställningar!$B$6)</f>
        <v>0.15</v>
      </c>
      <c r="AD124" s="10">
        <f t="shared" si="19"/>
        <v>0</v>
      </c>
      <c r="AE124" s="12"/>
    </row>
    <row r="125" spans="1:3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2"/>
      <c r="R125" s="12"/>
      <c r="S125" s="12"/>
      <c r="T125" s="12"/>
      <c r="U125" s="12"/>
      <c r="V125" s="18"/>
      <c r="W125" s="10">
        <f t="shared" si="16"/>
        <v>0</v>
      </c>
      <c r="X125" s="11"/>
      <c r="Y125" s="11">
        <f t="shared" si="17"/>
        <v>0</v>
      </c>
      <c r="Z125" s="10">
        <f>IF(Inställningar!$B$5="",0,Inställningar!$B$5)</f>
        <v>850</v>
      </c>
      <c r="AA125" s="10">
        <f t="shared" si="18"/>
        <v>0</v>
      </c>
      <c r="AB125" s="4"/>
      <c r="AC125" s="13">
        <f>IF(Inställningar!$B$6="",0,Inställningar!$B$6)</f>
        <v>0.15</v>
      </c>
      <c r="AD125" s="10">
        <f t="shared" si="19"/>
        <v>0</v>
      </c>
      <c r="AE125" s="12"/>
    </row>
    <row r="126" spans="1:3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2"/>
      <c r="R126" s="12"/>
      <c r="S126" s="12"/>
      <c r="T126" s="12"/>
      <c r="U126" s="12"/>
      <c r="V126" s="18"/>
      <c r="W126" s="10">
        <f t="shared" si="16"/>
        <v>0</v>
      </c>
      <c r="X126" s="11"/>
      <c r="Y126" s="11">
        <f t="shared" si="17"/>
        <v>0</v>
      </c>
      <c r="Z126" s="10">
        <f>IF(Inställningar!$B$5="",0,Inställningar!$B$5)</f>
        <v>850</v>
      </c>
      <c r="AA126" s="10">
        <f t="shared" si="18"/>
        <v>0</v>
      </c>
      <c r="AB126" s="4"/>
      <c r="AC126" s="13">
        <f>IF(Inställningar!$B$6="",0,Inställningar!$B$6)</f>
        <v>0.15</v>
      </c>
      <c r="AD126" s="10">
        <f t="shared" si="19"/>
        <v>0</v>
      </c>
      <c r="AE126" s="12"/>
    </row>
  </sheetData>
  <mergeCells count="2">
    <mergeCell ref="A1:O2"/>
    <mergeCell ref="A3:O4"/>
  </mergeCells>
  <conditionalFormatting sqref="J7:J51">
    <cfRule type="expression" dxfId="2" priority="1">
      <formula>J7="Ja"</formula>
    </cfRule>
  </conditionalFormatting>
  <dataValidations count="3">
    <dataValidation type="list" sqref="A7:A51 I7:J51" xr:uid="{00000000-0002-0000-0400-000000000000}">
      <formula1>"Ja,Nej"</formula1>
    </dataValidation>
    <dataValidation type="list" sqref="U7:U126" xr:uid="{00000000-0002-0000-0400-000003000000}">
      <formula1>"st,m,m²,paket,tim,övrigt"</formula1>
    </dataValidation>
    <dataValidation type="list" sqref="Q7:Q126" xr:uid="{00000000-0002-0000-0400-000004000000}">
      <formula1>$D$7:$D$51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26"/>
  <sheetViews>
    <sheetView workbookViewId="0"/>
  </sheetViews>
  <sheetFormatPr defaultRowHeight="14.25"/>
  <cols>
    <col min="1" max="1" width="11" customWidth="1"/>
    <col min="2" max="3" width="16" customWidth="1"/>
    <col min="4" max="4" width="24" customWidth="1"/>
    <col min="5" max="5" width="30" customWidth="1"/>
    <col min="6" max="6" width="13" customWidth="1"/>
    <col min="7" max="7" width="18" customWidth="1"/>
    <col min="8" max="8" width="16" customWidth="1"/>
    <col min="9" max="9" width="10" customWidth="1"/>
    <col min="10" max="10" width="20" customWidth="1"/>
    <col min="11" max="11" width="18" customWidth="1"/>
    <col min="12" max="12" width="15" customWidth="1"/>
    <col min="13" max="13" width="16" customWidth="1"/>
    <col min="14" max="14" width="15" customWidth="1"/>
    <col min="15" max="15" width="48" customWidth="1"/>
    <col min="17" max="17" width="24" customWidth="1"/>
    <col min="18" max="18" width="16" customWidth="1"/>
    <col min="19" max="19" width="32" customWidth="1"/>
    <col min="20" max="21" width="10" customWidth="1"/>
    <col min="22" max="23" width="16" customWidth="1"/>
    <col min="24" max="24" width="13" customWidth="1"/>
    <col min="25" max="25" width="12" customWidth="1"/>
    <col min="26" max="26" width="14" customWidth="1"/>
    <col min="27" max="27" width="16" customWidth="1"/>
    <col min="28" max="28" width="14" customWidth="1"/>
    <col min="29" max="29" width="12" customWidth="1"/>
    <col min="30" max="30" width="16" customWidth="1"/>
    <col min="31" max="31" width="40" customWidth="1"/>
  </cols>
  <sheetData>
    <row r="1" spans="1:31">
      <c r="A1" s="19" t="s">
        <v>395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21" t="s">
        <v>281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30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63</v>
      </c>
      <c r="L6" s="2" t="s">
        <v>64</v>
      </c>
      <c r="M6" s="2" t="s">
        <v>65</v>
      </c>
      <c r="N6" s="2" t="s">
        <v>66</v>
      </c>
      <c r="O6" s="2" t="s">
        <v>67</v>
      </c>
      <c r="P6" s="3"/>
      <c r="Q6" s="2" t="s">
        <v>56</v>
      </c>
      <c r="R6" s="2" t="s">
        <v>68</v>
      </c>
      <c r="S6" s="2" t="s">
        <v>69</v>
      </c>
      <c r="T6" s="2" t="s">
        <v>70</v>
      </c>
      <c r="U6" s="2" t="s">
        <v>30</v>
      </c>
      <c r="V6" s="2" t="s">
        <v>71</v>
      </c>
      <c r="W6" s="2" t="s">
        <v>72</v>
      </c>
      <c r="X6" s="2" t="s">
        <v>73</v>
      </c>
      <c r="Y6" s="2" t="s">
        <v>74</v>
      </c>
      <c r="Z6" s="2" t="s">
        <v>75</v>
      </c>
      <c r="AA6" s="2" t="s">
        <v>76</v>
      </c>
      <c r="AB6" s="2" t="s">
        <v>77</v>
      </c>
      <c r="AC6" s="2" t="s">
        <v>78</v>
      </c>
      <c r="AD6" s="2" t="s">
        <v>79</v>
      </c>
      <c r="AE6" s="2" t="s">
        <v>17</v>
      </c>
    </row>
    <row r="7" spans="1:31" ht="28.5">
      <c r="A7" s="7" t="s">
        <v>46</v>
      </c>
      <c r="B7" s="7" t="s">
        <v>396</v>
      </c>
      <c r="C7" s="7" t="s">
        <v>195</v>
      </c>
      <c r="D7" s="7" t="s">
        <v>397</v>
      </c>
      <c r="E7" s="7" t="s">
        <v>398</v>
      </c>
      <c r="F7" s="7" t="s">
        <v>84</v>
      </c>
      <c r="G7" s="8">
        <v>0</v>
      </c>
      <c r="H7" s="9">
        <v>0</v>
      </c>
      <c r="I7" s="7" t="s">
        <v>85</v>
      </c>
      <c r="J7" s="7" t="s">
        <v>85</v>
      </c>
      <c r="K7" s="10">
        <f t="shared" ref="K7:K51" si="0">IF(D7="","",SUMIF($Q$7:$Q$126,D7,$AD$7:$AD$126))</f>
        <v>0</v>
      </c>
      <c r="L7" s="11">
        <f t="shared" ref="L7:L51" si="1">IF(D7="","",SUMIF($Q$7:$Q$126,D7,$Y$7:$Y$126))</f>
        <v>0</v>
      </c>
      <c r="M7" s="10">
        <f t="shared" ref="M7:M51" si="2">IF(D7="","",IF(J7="Ja",K7,G7))</f>
        <v>0</v>
      </c>
      <c r="N7" s="11">
        <f t="shared" ref="N7:N51" si="3">IF(D7="","",IF(J7="Ja",L7,H7))</f>
        <v>0</v>
      </c>
      <c r="O7" s="3" t="s">
        <v>399</v>
      </c>
      <c r="P7" s="3"/>
      <c r="Q7" s="12" t="s">
        <v>400</v>
      </c>
      <c r="R7" s="12" t="s">
        <v>179</v>
      </c>
      <c r="S7" s="12" t="s">
        <v>89</v>
      </c>
      <c r="T7" s="12">
        <v>1</v>
      </c>
      <c r="U7" s="12" t="s">
        <v>90</v>
      </c>
      <c r="V7" s="18">
        <v>8734.7826089999999</v>
      </c>
      <c r="W7" s="10">
        <f t="shared" ref="W7:W38" si="4">IF(OR(T7="",V7=""),0,T7*V7)</f>
        <v>8734.7826089999999</v>
      </c>
      <c r="X7" s="11">
        <v>2</v>
      </c>
      <c r="Y7" s="11">
        <f t="shared" ref="Y7:Y38" si="5">IF(OR(T7="",X7=""),0,T7*X7)</f>
        <v>2</v>
      </c>
      <c r="Z7" s="10">
        <f>IF(Inställningar!$B$5="",0,Inställningar!$B$5)</f>
        <v>850</v>
      </c>
      <c r="AA7" s="10">
        <f t="shared" ref="AA7:AA38" si="6">Y7*Z7</f>
        <v>1700</v>
      </c>
      <c r="AB7" s="4">
        <v>0</v>
      </c>
      <c r="AC7" s="13">
        <f>IF(Inställningar!$B$6="",0,Inställningar!$B$6)</f>
        <v>0.15</v>
      </c>
      <c r="AD7" s="10">
        <f t="shared" ref="AD7:AD38" si="7">ROUND((W7+AA7+IF(AB7="",0,AB7))*(1+AC7),0)</f>
        <v>12000</v>
      </c>
      <c r="AE7" s="12" t="s">
        <v>288</v>
      </c>
    </row>
    <row r="8" spans="1:31" ht="29.25">
      <c r="A8" s="7" t="s">
        <v>46</v>
      </c>
      <c r="B8" s="7" t="s">
        <v>396</v>
      </c>
      <c r="C8" s="7" t="s">
        <v>198</v>
      </c>
      <c r="D8" s="7" t="s">
        <v>400</v>
      </c>
      <c r="E8" s="7" t="s">
        <v>398</v>
      </c>
      <c r="F8" s="7" t="s">
        <v>84</v>
      </c>
      <c r="G8" s="8">
        <v>12000</v>
      </c>
      <c r="H8" s="9">
        <v>2</v>
      </c>
      <c r="I8" s="7" t="s">
        <v>85</v>
      </c>
      <c r="J8" s="7" t="s">
        <v>46</v>
      </c>
      <c r="K8" s="10">
        <f t="shared" si="0"/>
        <v>12000</v>
      </c>
      <c r="L8" s="11">
        <f t="shared" si="1"/>
        <v>2</v>
      </c>
      <c r="M8" s="10">
        <f t="shared" si="2"/>
        <v>12000</v>
      </c>
      <c r="N8" s="11">
        <f t="shared" si="3"/>
        <v>2</v>
      </c>
      <c r="O8" s="3" t="s">
        <v>401</v>
      </c>
      <c r="P8" s="3"/>
      <c r="Q8" s="12" t="s">
        <v>402</v>
      </c>
      <c r="R8" s="12" t="s">
        <v>183</v>
      </c>
      <c r="S8" s="12" t="s">
        <v>89</v>
      </c>
      <c r="T8" s="12">
        <v>1</v>
      </c>
      <c r="U8" s="12" t="s">
        <v>90</v>
      </c>
      <c r="V8" s="18">
        <v>18339.130434999999</v>
      </c>
      <c r="W8" s="10">
        <f t="shared" si="4"/>
        <v>18339.130434999999</v>
      </c>
      <c r="X8" s="11">
        <v>4</v>
      </c>
      <c r="Y8" s="11">
        <f t="shared" si="5"/>
        <v>4</v>
      </c>
      <c r="Z8" s="10">
        <f>IF(Inställningar!$B$5="",0,Inställningar!$B$5)</f>
        <v>850</v>
      </c>
      <c r="AA8" s="10">
        <f t="shared" si="6"/>
        <v>3400</v>
      </c>
      <c r="AB8" s="4">
        <v>0</v>
      </c>
      <c r="AC8" s="13">
        <f>IF(Inställningar!$B$6="",0,Inställningar!$B$6)</f>
        <v>0.15</v>
      </c>
      <c r="AD8" s="10">
        <f t="shared" si="7"/>
        <v>25000</v>
      </c>
      <c r="AE8" s="12" t="s">
        <v>288</v>
      </c>
    </row>
    <row r="9" spans="1:31" ht="29.25">
      <c r="A9" s="7" t="s">
        <v>46</v>
      </c>
      <c r="B9" s="7" t="s">
        <v>396</v>
      </c>
      <c r="C9" s="7" t="s">
        <v>200</v>
      </c>
      <c r="D9" s="7" t="s">
        <v>402</v>
      </c>
      <c r="E9" s="7" t="s">
        <v>398</v>
      </c>
      <c r="F9" s="7" t="s">
        <v>84</v>
      </c>
      <c r="G9" s="8">
        <v>25000</v>
      </c>
      <c r="H9" s="9">
        <v>4</v>
      </c>
      <c r="I9" s="7" t="s">
        <v>85</v>
      </c>
      <c r="J9" s="7" t="s">
        <v>46</v>
      </c>
      <c r="K9" s="10">
        <f t="shared" si="0"/>
        <v>25000</v>
      </c>
      <c r="L9" s="11">
        <f t="shared" si="1"/>
        <v>4</v>
      </c>
      <c r="M9" s="10">
        <f t="shared" si="2"/>
        <v>25000</v>
      </c>
      <c r="N9" s="11">
        <f t="shared" si="3"/>
        <v>4</v>
      </c>
      <c r="O9" s="3" t="s">
        <v>403</v>
      </c>
      <c r="P9" s="3"/>
      <c r="Q9" s="12" t="s">
        <v>404</v>
      </c>
      <c r="R9" s="12" t="s">
        <v>405</v>
      </c>
      <c r="S9" s="12" t="s">
        <v>89</v>
      </c>
      <c r="T9" s="12">
        <v>1</v>
      </c>
      <c r="U9" s="12" t="s">
        <v>90</v>
      </c>
      <c r="V9" s="18">
        <v>44621.739130000002</v>
      </c>
      <c r="W9" s="10">
        <f t="shared" si="4"/>
        <v>44621.739130000002</v>
      </c>
      <c r="X9" s="11">
        <v>14</v>
      </c>
      <c r="Y9" s="11">
        <f t="shared" si="5"/>
        <v>14</v>
      </c>
      <c r="Z9" s="10">
        <f>IF(Inställningar!$B$5="",0,Inställningar!$B$5)</f>
        <v>850</v>
      </c>
      <c r="AA9" s="10">
        <f t="shared" si="6"/>
        <v>11900</v>
      </c>
      <c r="AB9" s="4">
        <v>0</v>
      </c>
      <c r="AC9" s="13">
        <f>IF(Inställningar!$B$6="",0,Inställningar!$B$6)</f>
        <v>0.15</v>
      </c>
      <c r="AD9" s="10">
        <f t="shared" si="7"/>
        <v>65000</v>
      </c>
      <c r="AE9" s="12" t="s">
        <v>288</v>
      </c>
    </row>
    <row r="10" spans="1:31" ht="29.25">
      <c r="A10" s="7" t="s">
        <v>46</v>
      </c>
      <c r="B10" s="7" t="s">
        <v>104</v>
      </c>
      <c r="C10" s="7" t="s">
        <v>406</v>
      </c>
      <c r="D10" s="7" t="s">
        <v>404</v>
      </c>
      <c r="E10" s="7" t="s">
        <v>407</v>
      </c>
      <c r="F10" s="7" t="s">
        <v>84</v>
      </c>
      <c r="G10" s="8">
        <v>65000</v>
      </c>
      <c r="H10" s="9">
        <v>14</v>
      </c>
      <c r="I10" s="7" t="s">
        <v>85</v>
      </c>
      <c r="J10" s="7" t="s">
        <v>46</v>
      </c>
      <c r="K10" s="10">
        <f t="shared" si="0"/>
        <v>65000</v>
      </c>
      <c r="L10" s="11">
        <f t="shared" si="1"/>
        <v>14</v>
      </c>
      <c r="M10" s="10">
        <f t="shared" si="2"/>
        <v>65000</v>
      </c>
      <c r="N10" s="11">
        <f t="shared" si="3"/>
        <v>14</v>
      </c>
      <c r="O10" s="3" t="s">
        <v>408</v>
      </c>
      <c r="P10" s="3"/>
      <c r="Q10" s="12" t="s">
        <v>409</v>
      </c>
      <c r="R10" s="12" t="s">
        <v>410</v>
      </c>
      <c r="S10" s="12" t="s">
        <v>89</v>
      </c>
      <c r="T10" s="12">
        <v>1</v>
      </c>
      <c r="U10" s="12" t="s">
        <v>90</v>
      </c>
      <c r="V10" s="18">
        <v>74304.347825999997</v>
      </c>
      <c r="W10" s="10">
        <f t="shared" si="4"/>
        <v>74304.347825999997</v>
      </c>
      <c r="X10" s="11">
        <v>20</v>
      </c>
      <c r="Y10" s="11">
        <f t="shared" si="5"/>
        <v>20</v>
      </c>
      <c r="Z10" s="10">
        <f>IF(Inställningar!$B$5="",0,Inställningar!$B$5)</f>
        <v>850</v>
      </c>
      <c r="AA10" s="10">
        <f t="shared" si="6"/>
        <v>17000</v>
      </c>
      <c r="AB10" s="4">
        <v>0</v>
      </c>
      <c r="AC10" s="13">
        <f>IF(Inställningar!$B$6="",0,Inställningar!$B$6)</f>
        <v>0.15</v>
      </c>
      <c r="AD10" s="10">
        <f t="shared" si="7"/>
        <v>105000</v>
      </c>
      <c r="AE10" s="12" t="s">
        <v>288</v>
      </c>
    </row>
    <row r="11" spans="1:31" ht="29.25">
      <c r="A11" s="7" t="s">
        <v>46</v>
      </c>
      <c r="B11" s="7" t="s">
        <v>104</v>
      </c>
      <c r="C11" s="7" t="s">
        <v>411</v>
      </c>
      <c r="D11" s="7" t="s">
        <v>409</v>
      </c>
      <c r="E11" s="7" t="s">
        <v>412</v>
      </c>
      <c r="F11" s="7" t="s">
        <v>84</v>
      </c>
      <c r="G11" s="8">
        <v>105000</v>
      </c>
      <c r="H11" s="9">
        <v>20</v>
      </c>
      <c r="I11" s="7" t="s">
        <v>85</v>
      </c>
      <c r="J11" s="7" t="s">
        <v>46</v>
      </c>
      <c r="K11" s="10">
        <f t="shared" si="0"/>
        <v>105000</v>
      </c>
      <c r="L11" s="11">
        <f t="shared" si="1"/>
        <v>20</v>
      </c>
      <c r="M11" s="10">
        <f t="shared" si="2"/>
        <v>105000</v>
      </c>
      <c r="N11" s="11">
        <f t="shared" si="3"/>
        <v>20</v>
      </c>
      <c r="O11" s="3" t="s">
        <v>413</v>
      </c>
      <c r="P11" s="3"/>
      <c r="Q11" s="12" t="s">
        <v>414</v>
      </c>
      <c r="R11" s="12" t="s">
        <v>415</v>
      </c>
      <c r="S11" s="12" t="s">
        <v>89</v>
      </c>
      <c r="T11" s="12">
        <v>1</v>
      </c>
      <c r="U11" s="12" t="s">
        <v>90</v>
      </c>
      <c r="V11" s="18">
        <v>115330.434783</v>
      </c>
      <c r="W11" s="10">
        <f t="shared" si="4"/>
        <v>115330.434783</v>
      </c>
      <c r="X11" s="11">
        <v>28</v>
      </c>
      <c r="Y11" s="11">
        <f t="shared" si="5"/>
        <v>28</v>
      </c>
      <c r="Z11" s="10">
        <f>IF(Inställningar!$B$5="",0,Inställningar!$B$5)</f>
        <v>850</v>
      </c>
      <c r="AA11" s="10">
        <f t="shared" si="6"/>
        <v>23800</v>
      </c>
      <c r="AB11" s="4">
        <v>0</v>
      </c>
      <c r="AC11" s="13">
        <f>IF(Inställningar!$B$6="",0,Inställningar!$B$6)</f>
        <v>0.15</v>
      </c>
      <c r="AD11" s="10">
        <f t="shared" si="7"/>
        <v>160000</v>
      </c>
      <c r="AE11" s="12" t="s">
        <v>288</v>
      </c>
    </row>
    <row r="12" spans="1:31" ht="29.25">
      <c r="A12" s="7" t="s">
        <v>46</v>
      </c>
      <c r="B12" s="7" t="s">
        <v>104</v>
      </c>
      <c r="C12" s="7" t="s">
        <v>416</v>
      </c>
      <c r="D12" s="7" t="s">
        <v>414</v>
      </c>
      <c r="E12" s="7" t="s">
        <v>417</v>
      </c>
      <c r="F12" s="7" t="s">
        <v>84</v>
      </c>
      <c r="G12" s="8">
        <v>160000</v>
      </c>
      <c r="H12" s="9">
        <v>28</v>
      </c>
      <c r="I12" s="7" t="s">
        <v>85</v>
      </c>
      <c r="J12" s="7" t="s">
        <v>46</v>
      </c>
      <c r="K12" s="10">
        <f t="shared" si="0"/>
        <v>160000</v>
      </c>
      <c r="L12" s="11">
        <f t="shared" si="1"/>
        <v>28</v>
      </c>
      <c r="M12" s="10">
        <f t="shared" si="2"/>
        <v>160000</v>
      </c>
      <c r="N12" s="11">
        <f t="shared" si="3"/>
        <v>28</v>
      </c>
      <c r="O12" s="3" t="s">
        <v>418</v>
      </c>
      <c r="P12" s="3"/>
      <c r="Q12" s="12" t="s">
        <v>117</v>
      </c>
      <c r="R12" s="12" t="s">
        <v>118</v>
      </c>
      <c r="S12" s="12" t="s">
        <v>89</v>
      </c>
      <c r="T12" s="12">
        <v>1</v>
      </c>
      <c r="U12" s="12" t="s">
        <v>90</v>
      </c>
      <c r="V12" s="18">
        <v>3952.1739130000001</v>
      </c>
      <c r="W12" s="10">
        <f t="shared" si="4"/>
        <v>3952.1739130000001</v>
      </c>
      <c r="X12" s="11">
        <v>2</v>
      </c>
      <c r="Y12" s="11">
        <f t="shared" si="5"/>
        <v>2</v>
      </c>
      <c r="Z12" s="10">
        <f>IF(Inställningar!$B$5="",0,Inställningar!$B$5)</f>
        <v>850</v>
      </c>
      <c r="AA12" s="10">
        <f t="shared" si="6"/>
        <v>1700</v>
      </c>
      <c r="AB12" s="4">
        <v>0</v>
      </c>
      <c r="AC12" s="13">
        <f>IF(Inställningar!$B$6="",0,Inställningar!$B$6)</f>
        <v>0.15</v>
      </c>
      <c r="AD12" s="10">
        <f t="shared" si="7"/>
        <v>6500</v>
      </c>
      <c r="AE12" s="12" t="s">
        <v>288</v>
      </c>
    </row>
    <row r="13" spans="1:31" ht="29.25">
      <c r="A13" s="7" t="s">
        <v>46</v>
      </c>
      <c r="B13" s="7" t="s">
        <v>124</v>
      </c>
      <c r="C13" s="7" t="s">
        <v>125</v>
      </c>
      <c r="D13" s="7" t="s">
        <v>117</v>
      </c>
      <c r="E13" s="7" t="s">
        <v>126</v>
      </c>
      <c r="F13" s="7" t="s">
        <v>84</v>
      </c>
      <c r="G13" s="8">
        <v>6500</v>
      </c>
      <c r="H13" s="9">
        <v>2</v>
      </c>
      <c r="I13" s="7" t="s">
        <v>85</v>
      </c>
      <c r="J13" s="7" t="s">
        <v>46</v>
      </c>
      <c r="K13" s="10">
        <f t="shared" si="0"/>
        <v>6500</v>
      </c>
      <c r="L13" s="11">
        <f t="shared" si="1"/>
        <v>2</v>
      </c>
      <c r="M13" s="10">
        <f t="shared" si="2"/>
        <v>6500</v>
      </c>
      <c r="N13" s="11">
        <f t="shared" si="3"/>
        <v>2</v>
      </c>
      <c r="O13" s="3" t="s">
        <v>419</v>
      </c>
      <c r="P13" s="3"/>
      <c r="Q13" s="12" t="s">
        <v>122</v>
      </c>
      <c r="R13" s="12" t="s">
        <v>123</v>
      </c>
      <c r="S13" s="12" t="s">
        <v>89</v>
      </c>
      <c r="T13" s="12">
        <v>1</v>
      </c>
      <c r="U13" s="12" t="s">
        <v>90</v>
      </c>
      <c r="V13" s="18">
        <v>17469.565216999999</v>
      </c>
      <c r="W13" s="10">
        <f t="shared" si="4"/>
        <v>17469.565216999999</v>
      </c>
      <c r="X13" s="11">
        <v>4</v>
      </c>
      <c r="Y13" s="11">
        <f t="shared" si="5"/>
        <v>4</v>
      </c>
      <c r="Z13" s="10">
        <f>IF(Inställningar!$B$5="",0,Inställningar!$B$5)</f>
        <v>850</v>
      </c>
      <c r="AA13" s="10">
        <f t="shared" si="6"/>
        <v>3400</v>
      </c>
      <c r="AB13" s="4">
        <v>0</v>
      </c>
      <c r="AC13" s="13">
        <f>IF(Inställningar!$B$6="",0,Inställningar!$B$6)</f>
        <v>0.15</v>
      </c>
      <c r="AD13" s="10">
        <f t="shared" si="7"/>
        <v>24000</v>
      </c>
      <c r="AE13" s="12" t="s">
        <v>288</v>
      </c>
    </row>
    <row r="14" spans="1:31" ht="29.25">
      <c r="A14" s="7" t="s">
        <v>46</v>
      </c>
      <c r="B14" s="7" t="s">
        <v>124</v>
      </c>
      <c r="C14" s="7" t="s">
        <v>130</v>
      </c>
      <c r="D14" s="7" t="s">
        <v>122</v>
      </c>
      <c r="E14" s="7" t="s">
        <v>126</v>
      </c>
      <c r="F14" s="7" t="s">
        <v>84</v>
      </c>
      <c r="G14" s="8">
        <v>24000</v>
      </c>
      <c r="H14" s="9">
        <v>4</v>
      </c>
      <c r="I14" s="7" t="s">
        <v>85</v>
      </c>
      <c r="J14" s="7" t="s">
        <v>46</v>
      </c>
      <c r="K14" s="10">
        <f t="shared" si="0"/>
        <v>24000</v>
      </c>
      <c r="L14" s="11">
        <f t="shared" si="1"/>
        <v>4</v>
      </c>
      <c r="M14" s="10">
        <f t="shared" si="2"/>
        <v>24000</v>
      </c>
      <c r="N14" s="11">
        <f t="shared" si="3"/>
        <v>4</v>
      </c>
      <c r="O14" s="3" t="s">
        <v>420</v>
      </c>
      <c r="P14" s="3"/>
      <c r="Q14" s="12" t="s">
        <v>159</v>
      </c>
      <c r="R14" s="12" t="s">
        <v>160</v>
      </c>
      <c r="S14" s="12" t="s">
        <v>89</v>
      </c>
      <c r="T14" s="12">
        <v>1</v>
      </c>
      <c r="U14" s="12" t="s">
        <v>90</v>
      </c>
      <c r="V14" s="18">
        <v>11402.173913000001</v>
      </c>
      <c r="W14" s="10">
        <f t="shared" si="4"/>
        <v>11402.173913000001</v>
      </c>
      <c r="X14" s="11">
        <v>5</v>
      </c>
      <c r="Y14" s="11">
        <f t="shared" si="5"/>
        <v>5</v>
      </c>
      <c r="Z14" s="10">
        <f>IF(Inställningar!$B$5="",0,Inställningar!$B$5)</f>
        <v>850</v>
      </c>
      <c r="AA14" s="10">
        <f t="shared" si="6"/>
        <v>4250</v>
      </c>
      <c r="AB14" s="4">
        <v>0</v>
      </c>
      <c r="AC14" s="13">
        <f>IF(Inställningar!$B$6="",0,Inställningar!$B$6)</f>
        <v>0.15</v>
      </c>
      <c r="AD14" s="10">
        <f t="shared" si="7"/>
        <v>18000</v>
      </c>
      <c r="AE14" s="12" t="s">
        <v>288</v>
      </c>
    </row>
    <row r="15" spans="1:31" ht="29.25">
      <c r="A15" s="7" t="s">
        <v>46</v>
      </c>
      <c r="B15" s="7" t="s">
        <v>174</v>
      </c>
      <c r="C15" s="7" t="s">
        <v>188</v>
      </c>
      <c r="D15" s="7" t="s">
        <v>159</v>
      </c>
      <c r="E15" s="7" t="s">
        <v>189</v>
      </c>
      <c r="F15" s="7" t="s">
        <v>30</v>
      </c>
      <c r="G15" s="8">
        <v>18000</v>
      </c>
      <c r="H15" s="9">
        <v>5</v>
      </c>
      <c r="I15" s="7" t="s">
        <v>85</v>
      </c>
      <c r="J15" s="7" t="s">
        <v>46</v>
      </c>
      <c r="K15" s="10">
        <f t="shared" si="0"/>
        <v>18000</v>
      </c>
      <c r="L15" s="11">
        <f t="shared" si="1"/>
        <v>5</v>
      </c>
      <c r="M15" s="10">
        <f t="shared" si="2"/>
        <v>18000</v>
      </c>
      <c r="N15" s="11">
        <f t="shared" si="3"/>
        <v>5</v>
      </c>
      <c r="O15" s="3" t="s">
        <v>313</v>
      </c>
      <c r="P15" s="3"/>
      <c r="Q15" s="12" t="s">
        <v>163</v>
      </c>
      <c r="R15" s="12" t="s">
        <v>164</v>
      </c>
      <c r="S15" s="12" t="s">
        <v>89</v>
      </c>
      <c r="T15" s="12">
        <v>1</v>
      </c>
      <c r="U15" s="12" t="s">
        <v>90</v>
      </c>
      <c r="V15" s="18">
        <v>18397.826087000001</v>
      </c>
      <c r="W15" s="10">
        <f t="shared" si="4"/>
        <v>18397.826087000001</v>
      </c>
      <c r="X15" s="11">
        <v>7</v>
      </c>
      <c r="Y15" s="11">
        <f t="shared" si="5"/>
        <v>7</v>
      </c>
      <c r="Z15" s="10">
        <f>IF(Inställningar!$B$5="",0,Inställningar!$B$5)</f>
        <v>850</v>
      </c>
      <c r="AA15" s="10">
        <f t="shared" si="6"/>
        <v>5950</v>
      </c>
      <c r="AB15" s="4">
        <v>0</v>
      </c>
      <c r="AC15" s="13">
        <f>IF(Inställningar!$B$6="",0,Inställningar!$B$6)</f>
        <v>0.15</v>
      </c>
      <c r="AD15" s="10">
        <f t="shared" si="7"/>
        <v>28000</v>
      </c>
      <c r="AE15" s="12" t="s">
        <v>288</v>
      </c>
    </row>
    <row r="16" spans="1:31" ht="29.25">
      <c r="A16" s="7" t="s">
        <v>46</v>
      </c>
      <c r="B16" s="7" t="s">
        <v>174</v>
      </c>
      <c r="C16" s="7" t="s">
        <v>191</v>
      </c>
      <c r="D16" s="7" t="s">
        <v>163</v>
      </c>
      <c r="E16" s="7" t="s">
        <v>189</v>
      </c>
      <c r="F16" s="7" t="s">
        <v>30</v>
      </c>
      <c r="G16" s="8">
        <v>28000</v>
      </c>
      <c r="H16" s="9">
        <v>7</v>
      </c>
      <c r="I16" s="7" t="s">
        <v>85</v>
      </c>
      <c r="J16" s="7" t="s">
        <v>46</v>
      </c>
      <c r="K16" s="10">
        <f t="shared" si="0"/>
        <v>28000</v>
      </c>
      <c r="L16" s="11">
        <f t="shared" si="1"/>
        <v>7</v>
      </c>
      <c r="M16" s="10">
        <f t="shared" si="2"/>
        <v>28000</v>
      </c>
      <c r="N16" s="11">
        <f t="shared" si="3"/>
        <v>7</v>
      </c>
      <c r="O16" s="3" t="s">
        <v>314</v>
      </c>
      <c r="P16" s="3"/>
      <c r="Q16" s="12" t="s">
        <v>167</v>
      </c>
      <c r="R16" s="12" t="s">
        <v>168</v>
      </c>
      <c r="S16" s="12" t="s">
        <v>89</v>
      </c>
      <c r="T16" s="12">
        <v>1</v>
      </c>
      <c r="U16" s="12" t="s">
        <v>90</v>
      </c>
      <c r="V16" s="18">
        <v>28021.739130000002</v>
      </c>
      <c r="W16" s="10">
        <f t="shared" si="4"/>
        <v>28021.739130000002</v>
      </c>
      <c r="X16" s="11">
        <v>10</v>
      </c>
      <c r="Y16" s="11">
        <f t="shared" si="5"/>
        <v>10</v>
      </c>
      <c r="Z16" s="10">
        <f>IF(Inställningar!$B$5="",0,Inställningar!$B$5)</f>
        <v>850</v>
      </c>
      <c r="AA16" s="10">
        <f t="shared" si="6"/>
        <v>8500</v>
      </c>
      <c r="AB16" s="4">
        <v>0</v>
      </c>
      <c r="AC16" s="13">
        <f>IF(Inställningar!$B$6="",0,Inställningar!$B$6)</f>
        <v>0.15</v>
      </c>
      <c r="AD16" s="10">
        <f t="shared" si="7"/>
        <v>42000</v>
      </c>
      <c r="AE16" s="12" t="s">
        <v>288</v>
      </c>
    </row>
    <row r="17" spans="1:31" ht="29.25">
      <c r="A17" s="7" t="s">
        <v>46</v>
      </c>
      <c r="B17" s="7" t="s">
        <v>174</v>
      </c>
      <c r="C17" s="7" t="s">
        <v>193</v>
      </c>
      <c r="D17" s="7" t="s">
        <v>167</v>
      </c>
      <c r="E17" s="7" t="s">
        <v>189</v>
      </c>
      <c r="F17" s="7" t="s">
        <v>30</v>
      </c>
      <c r="G17" s="8">
        <v>42000</v>
      </c>
      <c r="H17" s="9">
        <v>10</v>
      </c>
      <c r="I17" s="7" t="s">
        <v>85</v>
      </c>
      <c r="J17" s="7" t="s">
        <v>46</v>
      </c>
      <c r="K17" s="10">
        <f t="shared" si="0"/>
        <v>42000</v>
      </c>
      <c r="L17" s="11">
        <f t="shared" si="1"/>
        <v>10</v>
      </c>
      <c r="M17" s="10">
        <f t="shared" si="2"/>
        <v>42000</v>
      </c>
      <c r="N17" s="11">
        <f t="shared" si="3"/>
        <v>10</v>
      </c>
      <c r="O17" s="3" t="s">
        <v>315</v>
      </c>
      <c r="P17" s="3"/>
      <c r="Q17" s="12" t="s">
        <v>421</v>
      </c>
      <c r="R17" s="12" t="s">
        <v>422</v>
      </c>
      <c r="S17" s="12" t="s">
        <v>89</v>
      </c>
      <c r="T17" s="12">
        <v>1</v>
      </c>
      <c r="U17" s="12" t="s">
        <v>90</v>
      </c>
      <c r="V17" s="18">
        <v>21026.086957</v>
      </c>
      <c r="W17" s="10">
        <f t="shared" si="4"/>
        <v>21026.086957</v>
      </c>
      <c r="X17" s="11">
        <v>8</v>
      </c>
      <c r="Y17" s="11">
        <f t="shared" si="5"/>
        <v>8</v>
      </c>
      <c r="Z17" s="10">
        <f>IF(Inställningar!$B$5="",0,Inställningar!$B$5)</f>
        <v>850</v>
      </c>
      <c r="AA17" s="10">
        <f t="shared" si="6"/>
        <v>6800</v>
      </c>
      <c r="AB17" s="4">
        <v>0</v>
      </c>
      <c r="AC17" s="13">
        <f>IF(Inställningar!$B$6="",0,Inställningar!$B$6)</f>
        <v>0.15</v>
      </c>
      <c r="AD17" s="10">
        <f t="shared" si="7"/>
        <v>32000</v>
      </c>
      <c r="AE17" s="12" t="s">
        <v>288</v>
      </c>
    </row>
    <row r="18" spans="1:31" ht="29.25">
      <c r="A18" s="7" t="s">
        <v>46</v>
      </c>
      <c r="B18" s="7" t="s">
        <v>174</v>
      </c>
      <c r="C18" s="7" t="s">
        <v>423</v>
      </c>
      <c r="D18" s="7" t="s">
        <v>421</v>
      </c>
      <c r="E18" s="7" t="s">
        <v>424</v>
      </c>
      <c r="F18" s="7" t="s">
        <v>30</v>
      </c>
      <c r="G18" s="8">
        <v>32000</v>
      </c>
      <c r="H18" s="9">
        <v>8</v>
      </c>
      <c r="I18" s="7" t="s">
        <v>85</v>
      </c>
      <c r="J18" s="7" t="s">
        <v>46</v>
      </c>
      <c r="K18" s="10">
        <f t="shared" si="0"/>
        <v>32000</v>
      </c>
      <c r="L18" s="11">
        <f t="shared" si="1"/>
        <v>8</v>
      </c>
      <c r="M18" s="10">
        <f t="shared" si="2"/>
        <v>32000</v>
      </c>
      <c r="N18" s="11">
        <f t="shared" si="3"/>
        <v>8</v>
      </c>
      <c r="O18" s="3" t="s">
        <v>328</v>
      </c>
      <c r="P18" s="3"/>
      <c r="Q18" s="12" t="s">
        <v>155</v>
      </c>
      <c r="R18" s="12" t="s">
        <v>156</v>
      </c>
      <c r="S18" s="12" t="s">
        <v>89</v>
      </c>
      <c r="T18" s="12">
        <v>1</v>
      </c>
      <c r="U18" s="12" t="s">
        <v>90</v>
      </c>
      <c r="V18" s="18">
        <v>3227.1739130000001</v>
      </c>
      <c r="W18" s="10">
        <f t="shared" si="4"/>
        <v>3227.1739130000001</v>
      </c>
      <c r="X18" s="11">
        <v>0.5</v>
      </c>
      <c r="Y18" s="11">
        <f t="shared" si="5"/>
        <v>0.5</v>
      </c>
      <c r="Z18" s="10">
        <f>IF(Inställningar!$B$5="",0,Inställningar!$B$5)</f>
        <v>850</v>
      </c>
      <c r="AA18" s="10">
        <f t="shared" si="6"/>
        <v>425</v>
      </c>
      <c r="AB18" s="4">
        <v>0</v>
      </c>
      <c r="AC18" s="13">
        <f>IF(Inställningar!$B$6="",0,Inställningar!$B$6)</f>
        <v>0.15</v>
      </c>
      <c r="AD18" s="10">
        <f t="shared" si="7"/>
        <v>4200</v>
      </c>
      <c r="AE18" s="12" t="s">
        <v>288</v>
      </c>
    </row>
    <row r="19" spans="1:31" ht="29.25">
      <c r="A19" s="7" t="s">
        <v>46</v>
      </c>
      <c r="B19" s="7" t="s">
        <v>174</v>
      </c>
      <c r="C19" s="7" t="s">
        <v>184</v>
      </c>
      <c r="D19" s="7" t="s">
        <v>155</v>
      </c>
      <c r="E19" s="7" t="s">
        <v>425</v>
      </c>
      <c r="F19" s="7" t="s">
        <v>30</v>
      </c>
      <c r="G19" s="8">
        <v>4200</v>
      </c>
      <c r="H19" s="9">
        <v>0.5</v>
      </c>
      <c r="I19" s="7" t="s">
        <v>85</v>
      </c>
      <c r="J19" s="7" t="s">
        <v>46</v>
      </c>
      <c r="K19" s="10">
        <f t="shared" si="0"/>
        <v>4200</v>
      </c>
      <c r="L19" s="11">
        <f t="shared" si="1"/>
        <v>0.5</v>
      </c>
      <c r="M19" s="10">
        <f t="shared" si="2"/>
        <v>4200</v>
      </c>
      <c r="N19" s="11">
        <f t="shared" si="3"/>
        <v>0.5</v>
      </c>
      <c r="O19" s="3" t="s">
        <v>312</v>
      </c>
      <c r="P19" s="3"/>
      <c r="Q19" s="12" t="s">
        <v>147</v>
      </c>
      <c r="R19" s="12" t="s">
        <v>148</v>
      </c>
      <c r="S19" s="12" t="s">
        <v>89</v>
      </c>
      <c r="T19" s="12">
        <v>1</v>
      </c>
      <c r="U19" s="12" t="s">
        <v>90</v>
      </c>
      <c r="V19" s="18">
        <v>6444.5652170000003</v>
      </c>
      <c r="W19" s="10">
        <f t="shared" si="4"/>
        <v>6444.5652170000003</v>
      </c>
      <c r="X19" s="11">
        <v>0.5</v>
      </c>
      <c r="Y19" s="11">
        <f t="shared" si="5"/>
        <v>0.5</v>
      </c>
      <c r="Z19" s="10">
        <f>IF(Inställningar!$B$5="",0,Inställningar!$B$5)</f>
        <v>850</v>
      </c>
      <c r="AA19" s="10">
        <f t="shared" si="6"/>
        <v>425</v>
      </c>
      <c r="AB19" s="4">
        <v>0</v>
      </c>
      <c r="AC19" s="13">
        <f>IF(Inställningar!$B$6="",0,Inställningar!$B$6)</f>
        <v>0.15</v>
      </c>
      <c r="AD19" s="10">
        <f t="shared" si="7"/>
        <v>7900</v>
      </c>
      <c r="AE19" s="12" t="s">
        <v>288</v>
      </c>
    </row>
    <row r="20" spans="1:31" ht="29.25">
      <c r="A20" s="7" t="s">
        <v>46</v>
      </c>
      <c r="B20" s="7" t="s">
        <v>174</v>
      </c>
      <c r="C20" s="7" t="s">
        <v>175</v>
      </c>
      <c r="D20" s="7" t="s">
        <v>147</v>
      </c>
      <c r="E20" s="7" t="s">
        <v>385</v>
      </c>
      <c r="F20" s="7" t="s">
        <v>30</v>
      </c>
      <c r="G20" s="8">
        <v>7900</v>
      </c>
      <c r="H20" s="9">
        <v>0.5</v>
      </c>
      <c r="I20" s="7" t="s">
        <v>85</v>
      </c>
      <c r="J20" s="7" t="s">
        <v>46</v>
      </c>
      <c r="K20" s="10">
        <f t="shared" si="0"/>
        <v>7900</v>
      </c>
      <c r="L20" s="11">
        <f t="shared" si="1"/>
        <v>0.5</v>
      </c>
      <c r="M20" s="10">
        <f t="shared" si="2"/>
        <v>7900</v>
      </c>
      <c r="N20" s="11">
        <f t="shared" si="3"/>
        <v>0.5</v>
      </c>
      <c r="O20" s="3" t="s">
        <v>310</v>
      </c>
      <c r="P20" s="3"/>
      <c r="Q20" s="12" t="s">
        <v>426</v>
      </c>
      <c r="R20" s="12" t="s">
        <v>427</v>
      </c>
      <c r="S20" s="12" t="s">
        <v>89</v>
      </c>
      <c r="T20" s="12">
        <v>1</v>
      </c>
      <c r="U20" s="12" t="s">
        <v>90</v>
      </c>
      <c r="V20" s="18">
        <v>18339.130434999999</v>
      </c>
      <c r="W20" s="10">
        <f t="shared" si="4"/>
        <v>18339.130434999999</v>
      </c>
      <c r="X20" s="11">
        <v>4</v>
      </c>
      <c r="Y20" s="11">
        <f t="shared" si="5"/>
        <v>4</v>
      </c>
      <c r="Z20" s="10">
        <f>IF(Inställningar!$B$5="",0,Inställningar!$B$5)</f>
        <v>850</v>
      </c>
      <c r="AA20" s="10">
        <f t="shared" si="6"/>
        <v>3400</v>
      </c>
      <c r="AB20" s="4">
        <v>0</v>
      </c>
      <c r="AC20" s="13">
        <f>IF(Inställningar!$B$6="",0,Inställningar!$B$6)</f>
        <v>0.15</v>
      </c>
      <c r="AD20" s="10">
        <f t="shared" si="7"/>
        <v>25000</v>
      </c>
      <c r="AE20" s="12" t="s">
        <v>288</v>
      </c>
    </row>
    <row r="21" spans="1:31" ht="29.25">
      <c r="A21" s="7" t="s">
        <v>46</v>
      </c>
      <c r="B21" s="7" t="s">
        <v>318</v>
      </c>
      <c r="C21" s="7" t="s">
        <v>428</v>
      </c>
      <c r="D21" s="7" t="s">
        <v>426</v>
      </c>
      <c r="E21" s="7" t="s">
        <v>429</v>
      </c>
      <c r="F21" s="7" t="s">
        <v>84</v>
      </c>
      <c r="G21" s="8">
        <v>25000</v>
      </c>
      <c r="H21" s="9">
        <v>4</v>
      </c>
      <c r="I21" s="7" t="s">
        <v>85</v>
      </c>
      <c r="J21" s="7" t="s">
        <v>46</v>
      </c>
      <c r="K21" s="10">
        <f t="shared" si="0"/>
        <v>25000</v>
      </c>
      <c r="L21" s="11">
        <f t="shared" si="1"/>
        <v>4</v>
      </c>
      <c r="M21" s="10">
        <f t="shared" si="2"/>
        <v>25000</v>
      </c>
      <c r="N21" s="11">
        <f t="shared" si="3"/>
        <v>4</v>
      </c>
      <c r="O21" s="3" t="s">
        <v>430</v>
      </c>
      <c r="P21" s="3"/>
      <c r="Q21" s="12" t="s">
        <v>431</v>
      </c>
      <c r="R21" s="12" t="s">
        <v>432</v>
      </c>
      <c r="S21" s="12" t="s">
        <v>89</v>
      </c>
      <c r="T21" s="12">
        <v>1</v>
      </c>
      <c r="U21" s="12" t="s">
        <v>90</v>
      </c>
      <c r="V21" s="18">
        <v>12252.173913000001</v>
      </c>
      <c r="W21" s="10">
        <f t="shared" si="4"/>
        <v>12252.173913000001</v>
      </c>
      <c r="X21" s="11">
        <v>4</v>
      </c>
      <c r="Y21" s="11">
        <f t="shared" si="5"/>
        <v>4</v>
      </c>
      <c r="Z21" s="10">
        <f>IF(Inställningar!$B$5="",0,Inställningar!$B$5)</f>
        <v>850</v>
      </c>
      <c r="AA21" s="10">
        <f t="shared" si="6"/>
        <v>3400</v>
      </c>
      <c r="AB21" s="4">
        <v>0</v>
      </c>
      <c r="AC21" s="13">
        <f>IF(Inställningar!$B$6="",0,Inställningar!$B$6)</f>
        <v>0.15</v>
      </c>
      <c r="AD21" s="10">
        <f t="shared" si="7"/>
        <v>18000</v>
      </c>
      <c r="AE21" s="12" t="s">
        <v>288</v>
      </c>
    </row>
    <row r="22" spans="1:31" ht="29.25">
      <c r="A22" s="7" t="s">
        <v>46</v>
      </c>
      <c r="B22" s="7" t="s">
        <v>416</v>
      </c>
      <c r="C22" s="7" t="s">
        <v>433</v>
      </c>
      <c r="D22" s="7" t="s">
        <v>431</v>
      </c>
      <c r="E22" s="7" t="s">
        <v>434</v>
      </c>
      <c r="F22" s="7" t="s">
        <v>84</v>
      </c>
      <c r="G22" s="8">
        <v>18000</v>
      </c>
      <c r="H22" s="9">
        <v>4</v>
      </c>
      <c r="I22" s="7" t="s">
        <v>85</v>
      </c>
      <c r="J22" s="7" t="s">
        <v>46</v>
      </c>
      <c r="K22" s="10">
        <f t="shared" si="0"/>
        <v>18000</v>
      </c>
      <c r="L22" s="11">
        <f t="shared" si="1"/>
        <v>4</v>
      </c>
      <c r="M22" s="10">
        <f t="shared" si="2"/>
        <v>18000</v>
      </c>
      <c r="N22" s="11">
        <f t="shared" si="3"/>
        <v>4</v>
      </c>
      <c r="O22" s="3" t="s">
        <v>435</v>
      </c>
      <c r="P22" s="3"/>
      <c r="Q22" s="12" t="s">
        <v>186</v>
      </c>
      <c r="R22" s="12" t="s">
        <v>187</v>
      </c>
      <c r="S22" s="12" t="s">
        <v>89</v>
      </c>
      <c r="T22" s="12">
        <v>1</v>
      </c>
      <c r="U22" s="12" t="s">
        <v>90</v>
      </c>
      <c r="V22" s="18">
        <v>5276.0869570000004</v>
      </c>
      <c r="W22" s="10">
        <f t="shared" si="4"/>
        <v>5276.0869570000004</v>
      </c>
      <c r="X22" s="11">
        <v>3</v>
      </c>
      <c r="Y22" s="11">
        <f t="shared" si="5"/>
        <v>3</v>
      </c>
      <c r="Z22" s="10">
        <f>IF(Inställningar!$B$5="",0,Inställningar!$B$5)</f>
        <v>850</v>
      </c>
      <c r="AA22" s="10">
        <f t="shared" si="6"/>
        <v>2550</v>
      </c>
      <c r="AB22" s="4">
        <v>0</v>
      </c>
      <c r="AC22" s="13">
        <f>IF(Inställningar!$B$6="",0,Inställningar!$B$6)</f>
        <v>0.15</v>
      </c>
      <c r="AD22" s="10">
        <f t="shared" si="7"/>
        <v>9000</v>
      </c>
      <c r="AE22" s="12" t="s">
        <v>288</v>
      </c>
    </row>
    <row r="23" spans="1:31" ht="29.25">
      <c r="A23" s="7" t="s">
        <v>46</v>
      </c>
      <c r="B23" s="7" t="s">
        <v>205</v>
      </c>
      <c r="C23" s="7" t="s">
        <v>220</v>
      </c>
      <c r="D23" s="7" t="s">
        <v>186</v>
      </c>
      <c r="E23" s="7" t="s">
        <v>327</v>
      </c>
      <c r="F23" s="7" t="s">
        <v>84</v>
      </c>
      <c r="G23" s="8">
        <v>9000</v>
      </c>
      <c r="H23" s="9">
        <v>3</v>
      </c>
      <c r="I23" s="7" t="s">
        <v>85</v>
      </c>
      <c r="J23" s="7" t="s">
        <v>46</v>
      </c>
      <c r="K23" s="10">
        <f t="shared" si="0"/>
        <v>9000</v>
      </c>
      <c r="L23" s="11">
        <f t="shared" si="1"/>
        <v>3</v>
      </c>
      <c r="M23" s="10">
        <f t="shared" si="2"/>
        <v>9000</v>
      </c>
      <c r="N23" s="11">
        <f t="shared" si="3"/>
        <v>3</v>
      </c>
      <c r="O23" s="3" t="s">
        <v>328</v>
      </c>
      <c r="P23" s="3"/>
      <c r="Q23" s="12"/>
      <c r="R23" s="12"/>
      <c r="S23" s="12"/>
      <c r="T23" s="12"/>
      <c r="U23" s="12"/>
      <c r="V23" s="18"/>
      <c r="W23" s="10">
        <f t="shared" si="4"/>
        <v>0</v>
      </c>
      <c r="X23" s="11"/>
      <c r="Y23" s="11">
        <f t="shared" si="5"/>
        <v>0</v>
      </c>
      <c r="Z23" s="10">
        <f>IF(Inställningar!$B$5="",0,Inställningar!$B$5)</f>
        <v>850</v>
      </c>
      <c r="AA23" s="10">
        <f t="shared" si="6"/>
        <v>0</v>
      </c>
      <c r="AB23" s="4"/>
      <c r="AC23" s="13">
        <f>IF(Inställningar!$B$6="",0,Inställningar!$B$6)</f>
        <v>0.15</v>
      </c>
      <c r="AD23" s="10">
        <f t="shared" si="7"/>
        <v>0</v>
      </c>
      <c r="AE23" s="12"/>
    </row>
    <row r="24" spans="1:31">
      <c r="A24" s="7" t="s">
        <v>46</v>
      </c>
      <c r="B24" s="7" t="s">
        <v>205</v>
      </c>
      <c r="C24" s="7" t="s">
        <v>228</v>
      </c>
      <c r="D24" s="7" t="s">
        <v>229</v>
      </c>
      <c r="E24" s="7" t="s">
        <v>230</v>
      </c>
      <c r="F24" s="7" t="s">
        <v>231</v>
      </c>
      <c r="G24" s="8">
        <v>0</v>
      </c>
      <c r="H24" s="9">
        <v>0</v>
      </c>
      <c r="I24" s="7" t="s">
        <v>85</v>
      </c>
      <c r="J24" s="7" t="s">
        <v>85</v>
      </c>
      <c r="K24" s="10">
        <f t="shared" si="0"/>
        <v>0</v>
      </c>
      <c r="L24" s="11">
        <f t="shared" si="1"/>
        <v>0</v>
      </c>
      <c r="M24" s="10">
        <f t="shared" si="2"/>
        <v>0</v>
      </c>
      <c r="N24" s="11">
        <f t="shared" si="3"/>
        <v>0</v>
      </c>
      <c r="O24" s="3" t="s">
        <v>333</v>
      </c>
      <c r="P24" s="3"/>
      <c r="Q24" s="12"/>
      <c r="R24" s="12"/>
      <c r="S24" s="12"/>
      <c r="T24" s="12"/>
      <c r="U24" s="12"/>
      <c r="V24" s="18"/>
      <c r="W24" s="10">
        <f t="shared" si="4"/>
        <v>0</v>
      </c>
      <c r="X24" s="11"/>
      <c r="Y24" s="11">
        <f t="shared" si="5"/>
        <v>0</v>
      </c>
      <c r="Z24" s="10">
        <f>IF(Inställningar!$B$5="",0,Inställningar!$B$5)</f>
        <v>850</v>
      </c>
      <c r="AA24" s="10">
        <f t="shared" si="6"/>
        <v>0</v>
      </c>
      <c r="AB24" s="4"/>
      <c r="AC24" s="13">
        <f>IF(Inställningar!$B$6="",0,Inställningar!$B$6)</f>
        <v>0.15</v>
      </c>
      <c r="AD24" s="10">
        <f t="shared" si="7"/>
        <v>0</v>
      </c>
      <c r="AE24" s="12"/>
    </row>
    <row r="25" spans="1:31">
      <c r="A25" s="7" t="s">
        <v>85</v>
      </c>
      <c r="B25" s="7"/>
      <c r="C25" s="7"/>
      <c r="D25" s="7"/>
      <c r="E25" s="7"/>
      <c r="F25" s="7"/>
      <c r="G25" s="8"/>
      <c r="H25" s="9"/>
      <c r="I25" s="7" t="s">
        <v>85</v>
      </c>
      <c r="J25" s="7" t="s">
        <v>85</v>
      </c>
      <c r="K25" s="10" t="str">
        <f t="shared" si="0"/>
        <v/>
      </c>
      <c r="L25" s="11" t="str">
        <f t="shared" si="1"/>
        <v/>
      </c>
      <c r="M25" s="10" t="str">
        <f t="shared" si="2"/>
        <v/>
      </c>
      <c r="N25" s="11" t="str">
        <f t="shared" si="3"/>
        <v/>
      </c>
      <c r="O25" s="3"/>
      <c r="P25" s="3"/>
      <c r="Q25" s="12"/>
      <c r="R25" s="12"/>
      <c r="S25" s="12"/>
      <c r="T25" s="12"/>
      <c r="U25" s="12"/>
      <c r="V25" s="18"/>
      <c r="W25" s="10">
        <f t="shared" si="4"/>
        <v>0</v>
      </c>
      <c r="X25" s="11"/>
      <c r="Y25" s="11">
        <f t="shared" si="5"/>
        <v>0</v>
      </c>
      <c r="Z25" s="10">
        <f>IF(Inställningar!$B$5="",0,Inställningar!$B$5)</f>
        <v>850</v>
      </c>
      <c r="AA25" s="10">
        <f t="shared" si="6"/>
        <v>0</v>
      </c>
      <c r="AB25" s="4"/>
      <c r="AC25" s="13">
        <f>IF(Inställningar!$B$6="",0,Inställningar!$B$6)</f>
        <v>0.15</v>
      </c>
      <c r="AD25" s="10">
        <f t="shared" si="7"/>
        <v>0</v>
      </c>
      <c r="AE25" s="12"/>
    </row>
    <row r="26" spans="1:31">
      <c r="A26" s="7" t="s">
        <v>85</v>
      </c>
      <c r="B26" s="7"/>
      <c r="C26" s="7"/>
      <c r="D26" s="7"/>
      <c r="E26" s="7"/>
      <c r="F26" s="7"/>
      <c r="G26" s="8"/>
      <c r="H26" s="9"/>
      <c r="I26" s="7" t="s">
        <v>85</v>
      </c>
      <c r="J26" s="7" t="s">
        <v>85</v>
      </c>
      <c r="K26" s="10" t="str">
        <f t="shared" si="0"/>
        <v/>
      </c>
      <c r="L26" s="11" t="str">
        <f t="shared" si="1"/>
        <v/>
      </c>
      <c r="M26" s="10" t="str">
        <f t="shared" si="2"/>
        <v/>
      </c>
      <c r="N26" s="11" t="str">
        <f t="shared" si="3"/>
        <v/>
      </c>
      <c r="O26" s="3"/>
      <c r="P26" s="3"/>
      <c r="Q26" s="12"/>
      <c r="R26" s="12"/>
      <c r="S26" s="12"/>
      <c r="T26" s="12"/>
      <c r="U26" s="12"/>
      <c r="V26" s="18"/>
      <c r="W26" s="10">
        <f t="shared" si="4"/>
        <v>0</v>
      </c>
      <c r="X26" s="11"/>
      <c r="Y26" s="11">
        <f t="shared" si="5"/>
        <v>0</v>
      </c>
      <c r="Z26" s="10">
        <f>IF(Inställningar!$B$5="",0,Inställningar!$B$5)</f>
        <v>850</v>
      </c>
      <c r="AA26" s="10">
        <f t="shared" si="6"/>
        <v>0</v>
      </c>
      <c r="AB26" s="4"/>
      <c r="AC26" s="13">
        <f>IF(Inställningar!$B$6="",0,Inställningar!$B$6)</f>
        <v>0.15</v>
      </c>
      <c r="AD26" s="10">
        <f t="shared" si="7"/>
        <v>0</v>
      </c>
      <c r="AE26" s="12"/>
    </row>
    <row r="27" spans="1:31">
      <c r="A27" s="7" t="s">
        <v>85</v>
      </c>
      <c r="B27" s="7"/>
      <c r="C27" s="7"/>
      <c r="D27" s="7"/>
      <c r="E27" s="7"/>
      <c r="F27" s="7"/>
      <c r="G27" s="8"/>
      <c r="H27" s="9"/>
      <c r="I27" s="7" t="s">
        <v>85</v>
      </c>
      <c r="J27" s="7" t="s">
        <v>85</v>
      </c>
      <c r="K27" s="10" t="str">
        <f t="shared" si="0"/>
        <v/>
      </c>
      <c r="L27" s="11" t="str">
        <f t="shared" si="1"/>
        <v/>
      </c>
      <c r="M27" s="10" t="str">
        <f t="shared" si="2"/>
        <v/>
      </c>
      <c r="N27" s="11" t="str">
        <f t="shared" si="3"/>
        <v/>
      </c>
      <c r="O27" s="3"/>
      <c r="P27" s="3"/>
      <c r="Q27" s="12"/>
      <c r="R27" s="12"/>
      <c r="S27" s="12"/>
      <c r="T27" s="12"/>
      <c r="U27" s="12"/>
      <c r="V27" s="18"/>
      <c r="W27" s="10">
        <f t="shared" si="4"/>
        <v>0</v>
      </c>
      <c r="X27" s="11"/>
      <c r="Y27" s="11">
        <f t="shared" si="5"/>
        <v>0</v>
      </c>
      <c r="Z27" s="10">
        <f>IF(Inställningar!$B$5="",0,Inställningar!$B$5)</f>
        <v>850</v>
      </c>
      <c r="AA27" s="10">
        <f t="shared" si="6"/>
        <v>0</v>
      </c>
      <c r="AB27" s="4"/>
      <c r="AC27" s="13">
        <f>IF(Inställningar!$B$6="",0,Inställningar!$B$6)</f>
        <v>0.15</v>
      </c>
      <c r="AD27" s="10">
        <f t="shared" si="7"/>
        <v>0</v>
      </c>
      <c r="AE27" s="12"/>
    </row>
    <row r="28" spans="1:31">
      <c r="A28" s="7" t="s">
        <v>85</v>
      </c>
      <c r="B28" s="7"/>
      <c r="C28" s="7"/>
      <c r="D28" s="7"/>
      <c r="E28" s="7"/>
      <c r="F28" s="7"/>
      <c r="G28" s="8"/>
      <c r="H28" s="9"/>
      <c r="I28" s="7" t="s">
        <v>85</v>
      </c>
      <c r="J28" s="7" t="s">
        <v>85</v>
      </c>
      <c r="K28" s="10" t="str">
        <f t="shared" si="0"/>
        <v/>
      </c>
      <c r="L28" s="11" t="str">
        <f t="shared" si="1"/>
        <v/>
      </c>
      <c r="M28" s="10" t="str">
        <f t="shared" si="2"/>
        <v/>
      </c>
      <c r="N28" s="11" t="str">
        <f t="shared" si="3"/>
        <v/>
      </c>
      <c r="O28" s="3"/>
      <c r="P28" s="3"/>
      <c r="Q28" s="12"/>
      <c r="R28" s="12"/>
      <c r="S28" s="12"/>
      <c r="T28" s="12"/>
      <c r="U28" s="12"/>
      <c r="V28" s="18"/>
      <c r="W28" s="10">
        <f t="shared" si="4"/>
        <v>0</v>
      </c>
      <c r="X28" s="11"/>
      <c r="Y28" s="11">
        <f t="shared" si="5"/>
        <v>0</v>
      </c>
      <c r="Z28" s="10">
        <f>IF(Inställningar!$B$5="",0,Inställningar!$B$5)</f>
        <v>850</v>
      </c>
      <c r="AA28" s="10">
        <f t="shared" si="6"/>
        <v>0</v>
      </c>
      <c r="AB28" s="4"/>
      <c r="AC28" s="13">
        <f>IF(Inställningar!$B$6="",0,Inställningar!$B$6)</f>
        <v>0.15</v>
      </c>
      <c r="AD28" s="10">
        <f t="shared" si="7"/>
        <v>0</v>
      </c>
      <c r="AE28" s="12"/>
    </row>
    <row r="29" spans="1:31">
      <c r="A29" s="7" t="s">
        <v>85</v>
      </c>
      <c r="B29" s="7"/>
      <c r="C29" s="7"/>
      <c r="D29" s="7"/>
      <c r="E29" s="7"/>
      <c r="F29" s="7"/>
      <c r="G29" s="8"/>
      <c r="H29" s="9"/>
      <c r="I29" s="7" t="s">
        <v>85</v>
      </c>
      <c r="J29" s="7" t="s">
        <v>85</v>
      </c>
      <c r="K29" s="10" t="str">
        <f t="shared" si="0"/>
        <v/>
      </c>
      <c r="L29" s="11" t="str">
        <f t="shared" si="1"/>
        <v/>
      </c>
      <c r="M29" s="10" t="str">
        <f t="shared" si="2"/>
        <v/>
      </c>
      <c r="N29" s="11" t="str">
        <f t="shared" si="3"/>
        <v/>
      </c>
      <c r="O29" s="3"/>
      <c r="P29" s="3"/>
      <c r="Q29" s="12"/>
      <c r="R29" s="12"/>
      <c r="S29" s="12"/>
      <c r="T29" s="12"/>
      <c r="U29" s="12"/>
      <c r="V29" s="18"/>
      <c r="W29" s="10">
        <f t="shared" si="4"/>
        <v>0</v>
      </c>
      <c r="X29" s="11"/>
      <c r="Y29" s="11">
        <f t="shared" si="5"/>
        <v>0</v>
      </c>
      <c r="Z29" s="10">
        <f>IF(Inställningar!$B$5="",0,Inställningar!$B$5)</f>
        <v>850</v>
      </c>
      <c r="AA29" s="10">
        <f t="shared" si="6"/>
        <v>0</v>
      </c>
      <c r="AB29" s="4"/>
      <c r="AC29" s="13">
        <f>IF(Inställningar!$B$6="",0,Inställningar!$B$6)</f>
        <v>0.15</v>
      </c>
      <c r="AD29" s="10">
        <f t="shared" si="7"/>
        <v>0</v>
      </c>
      <c r="AE29" s="12"/>
    </row>
    <row r="30" spans="1:31">
      <c r="A30" s="7" t="s">
        <v>85</v>
      </c>
      <c r="B30" s="7"/>
      <c r="C30" s="7"/>
      <c r="D30" s="7"/>
      <c r="E30" s="7"/>
      <c r="F30" s="7"/>
      <c r="G30" s="8"/>
      <c r="H30" s="9"/>
      <c r="I30" s="7" t="s">
        <v>85</v>
      </c>
      <c r="J30" s="7" t="s">
        <v>85</v>
      </c>
      <c r="K30" s="10" t="str">
        <f t="shared" si="0"/>
        <v/>
      </c>
      <c r="L30" s="11" t="str">
        <f t="shared" si="1"/>
        <v/>
      </c>
      <c r="M30" s="10" t="str">
        <f t="shared" si="2"/>
        <v/>
      </c>
      <c r="N30" s="11" t="str">
        <f t="shared" si="3"/>
        <v/>
      </c>
      <c r="O30" s="3"/>
      <c r="P30" s="3"/>
      <c r="Q30" s="12"/>
      <c r="R30" s="12"/>
      <c r="S30" s="12"/>
      <c r="T30" s="12"/>
      <c r="U30" s="12"/>
      <c r="V30" s="18"/>
      <c r="W30" s="10">
        <f t="shared" si="4"/>
        <v>0</v>
      </c>
      <c r="X30" s="11"/>
      <c r="Y30" s="11">
        <f t="shared" si="5"/>
        <v>0</v>
      </c>
      <c r="Z30" s="10">
        <f>IF(Inställningar!$B$5="",0,Inställningar!$B$5)</f>
        <v>850</v>
      </c>
      <c r="AA30" s="10">
        <f t="shared" si="6"/>
        <v>0</v>
      </c>
      <c r="AB30" s="4"/>
      <c r="AC30" s="13">
        <f>IF(Inställningar!$B$6="",0,Inställningar!$B$6)</f>
        <v>0.15</v>
      </c>
      <c r="AD30" s="10">
        <f t="shared" si="7"/>
        <v>0</v>
      </c>
      <c r="AE30" s="12"/>
    </row>
    <row r="31" spans="1:31">
      <c r="A31" s="7" t="s">
        <v>85</v>
      </c>
      <c r="B31" s="7"/>
      <c r="C31" s="7"/>
      <c r="D31" s="7"/>
      <c r="E31" s="7"/>
      <c r="F31" s="7"/>
      <c r="G31" s="8"/>
      <c r="H31" s="9"/>
      <c r="I31" s="7" t="s">
        <v>85</v>
      </c>
      <c r="J31" s="7" t="s">
        <v>85</v>
      </c>
      <c r="K31" s="10" t="str">
        <f t="shared" si="0"/>
        <v/>
      </c>
      <c r="L31" s="11" t="str">
        <f t="shared" si="1"/>
        <v/>
      </c>
      <c r="M31" s="10" t="str">
        <f t="shared" si="2"/>
        <v/>
      </c>
      <c r="N31" s="11" t="str">
        <f t="shared" si="3"/>
        <v/>
      </c>
      <c r="O31" s="3"/>
      <c r="P31" s="3"/>
      <c r="Q31" s="12"/>
      <c r="R31" s="12"/>
      <c r="S31" s="12"/>
      <c r="T31" s="12"/>
      <c r="U31" s="12"/>
      <c r="V31" s="18"/>
      <c r="W31" s="10">
        <f t="shared" si="4"/>
        <v>0</v>
      </c>
      <c r="X31" s="11"/>
      <c r="Y31" s="11">
        <f t="shared" si="5"/>
        <v>0</v>
      </c>
      <c r="Z31" s="10">
        <f>IF(Inställningar!$B$5="",0,Inställningar!$B$5)</f>
        <v>850</v>
      </c>
      <c r="AA31" s="10">
        <f t="shared" si="6"/>
        <v>0</v>
      </c>
      <c r="AB31" s="4"/>
      <c r="AC31" s="13">
        <f>IF(Inställningar!$B$6="",0,Inställningar!$B$6)</f>
        <v>0.15</v>
      </c>
      <c r="AD31" s="10">
        <f t="shared" si="7"/>
        <v>0</v>
      </c>
      <c r="AE31" s="12"/>
    </row>
    <row r="32" spans="1:31">
      <c r="A32" s="7" t="s">
        <v>85</v>
      </c>
      <c r="B32" s="7"/>
      <c r="C32" s="7"/>
      <c r="D32" s="7"/>
      <c r="E32" s="7"/>
      <c r="F32" s="7"/>
      <c r="G32" s="8"/>
      <c r="H32" s="9"/>
      <c r="I32" s="7" t="s">
        <v>85</v>
      </c>
      <c r="J32" s="7" t="s">
        <v>85</v>
      </c>
      <c r="K32" s="10" t="str">
        <f t="shared" si="0"/>
        <v/>
      </c>
      <c r="L32" s="11" t="str">
        <f t="shared" si="1"/>
        <v/>
      </c>
      <c r="M32" s="10" t="str">
        <f t="shared" si="2"/>
        <v/>
      </c>
      <c r="N32" s="11" t="str">
        <f t="shared" si="3"/>
        <v/>
      </c>
      <c r="O32" s="3"/>
      <c r="P32" s="3"/>
      <c r="Q32" s="12"/>
      <c r="R32" s="12"/>
      <c r="S32" s="12"/>
      <c r="T32" s="12"/>
      <c r="U32" s="12"/>
      <c r="V32" s="18"/>
      <c r="W32" s="10">
        <f t="shared" si="4"/>
        <v>0</v>
      </c>
      <c r="X32" s="11"/>
      <c r="Y32" s="11">
        <f t="shared" si="5"/>
        <v>0</v>
      </c>
      <c r="Z32" s="10">
        <f>IF(Inställningar!$B$5="",0,Inställningar!$B$5)</f>
        <v>850</v>
      </c>
      <c r="AA32" s="10">
        <f t="shared" si="6"/>
        <v>0</v>
      </c>
      <c r="AB32" s="4"/>
      <c r="AC32" s="13">
        <f>IF(Inställningar!$B$6="",0,Inställningar!$B$6)</f>
        <v>0.15</v>
      </c>
      <c r="AD32" s="10">
        <f t="shared" si="7"/>
        <v>0</v>
      </c>
      <c r="AE32" s="12"/>
    </row>
    <row r="33" spans="1:31">
      <c r="A33" s="7" t="s">
        <v>85</v>
      </c>
      <c r="B33" s="7"/>
      <c r="C33" s="7"/>
      <c r="D33" s="7"/>
      <c r="E33" s="7"/>
      <c r="F33" s="7"/>
      <c r="G33" s="8"/>
      <c r="H33" s="9"/>
      <c r="I33" s="7" t="s">
        <v>85</v>
      </c>
      <c r="J33" s="7" t="s">
        <v>85</v>
      </c>
      <c r="K33" s="10" t="str">
        <f t="shared" si="0"/>
        <v/>
      </c>
      <c r="L33" s="11" t="str">
        <f t="shared" si="1"/>
        <v/>
      </c>
      <c r="M33" s="10" t="str">
        <f t="shared" si="2"/>
        <v/>
      </c>
      <c r="N33" s="11" t="str">
        <f t="shared" si="3"/>
        <v/>
      </c>
      <c r="O33" s="3"/>
      <c r="P33" s="3"/>
      <c r="Q33" s="12"/>
      <c r="R33" s="12"/>
      <c r="S33" s="12"/>
      <c r="T33" s="12"/>
      <c r="U33" s="12"/>
      <c r="V33" s="18"/>
      <c r="W33" s="10">
        <f t="shared" si="4"/>
        <v>0</v>
      </c>
      <c r="X33" s="11"/>
      <c r="Y33" s="11">
        <f t="shared" si="5"/>
        <v>0</v>
      </c>
      <c r="Z33" s="10">
        <f>IF(Inställningar!$B$5="",0,Inställningar!$B$5)</f>
        <v>850</v>
      </c>
      <c r="AA33" s="10">
        <f t="shared" si="6"/>
        <v>0</v>
      </c>
      <c r="AB33" s="4"/>
      <c r="AC33" s="13">
        <f>IF(Inställningar!$B$6="",0,Inställningar!$B$6)</f>
        <v>0.15</v>
      </c>
      <c r="AD33" s="10">
        <f t="shared" si="7"/>
        <v>0</v>
      </c>
      <c r="AE33" s="12"/>
    </row>
    <row r="34" spans="1:31">
      <c r="A34" s="7" t="s">
        <v>85</v>
      </c>
      <c r="B34" s="7"/>
      <c r="C34" s="7"/>
      <c r="D34" s="7"/>
      <c r="E34" s="7"/>
      <c r="F34" s="7"/>
      <c r="G34" s="8"/>
      <c r="H34" s="9"/>
      <c r="I34" s="7" t="s">
        <v>85</v>
      </c>
      <c r="J34" s="7" t="s">
        <v>85</v>
      </c>
      <c r="K34" s="10" t="str">
        <f t="shared" si="0"/>
        <v/>
      </c>
      <c r="L34" s="11" t="str">
        <f t="shared" si="1"/>
        <v/>
      </c>
      <c r="M34" s="10" t="str">
        <f t="shared" si="2"/>
        <v/>
      </c>
      <c r="N34" s="11" t="str">
        <f t="shared" si="3"/>
        <v/>
      </c>
      <c r="O34" s="3"/>
      <c r="P34" s="3"/>
      <c r="Q34" s="12"/>
      <c r="R34" s="12"/>
      <c r="S34" s="12"/>
      <c r="T34" s="12"/>
      <c r="U34" s="12"/>
      <c r="V34" s="18"/>
      <c r="W34" s="10">
        <f t="shared" si="4"/>
        <v>0</v>
      </c>
      <c r="X34" s="11"/>
      <c r="Y34" s="11">
        <f t="shared" si="5"/>
        <v>0</v>
      </c>
      <c r="Z34" s="10">
        <f>IF(Inställningar!$B$5="",0,Inställningar!$B$5)</f>
        <v>850</v>
      </c>
      <c r="AA34" s="10">
        <f t="shared" si="6"/>
        <v>0</v>
      </c>
      <c r="AB34" s="4"/>
      <c r="AC34" s="13">
        <f>IF(Inställningar!$B$6="",0,Inställningar!$B$6)</f>
        <v>0.15</v>
      </c>
      <c r="AD34" s="10">
        <f t="shared" si="7"/>
        <v>0</v>
      </c>
      <c r="AE34" s="12"/>
    </row>
    <row r="35" spans="1:31">
      <c r="A35" s="7" t="s">
        <v>85</v>
      </c>
      <c r="B35" s="7"/>
      <c r="C35" s="7"/>
      <c r="D35" s="7"/>
      <c r="E35" s="7"/>
      <c r="F35" s="7"/>
      <c r="G35" s="8"/>
      <c r="H35" s="9"/>
      <c r="I35" s="7" t="s">
        <v>85</v>
      </c>
      <c r="J35" s="7" t="s">
        <v>85</v>
      </c>
      <c r="K35" s="10" t="str">
        <f t="shared" si="0"/>
        <v/>
      </c>
      <c r="L35" s="11" t="str">
        <f t="shared" si="1"/>
        <v/>
      </c>
      <c r="M35" s="10" t="str">
        <f t="shared" si="2"/>
        <v/>
      </c>
      <c r="N35" s="11" t="str">
        <f t="shared" si="3"/>
        <v/>
      </c>
      <c r="O35" s="3"/>
      <c r="P35" s="3"/>
      <c r="Q35" s="12"/>
      <c r="R35" s="12"/>
      <c r="S35" s="12"/>
      <c r="T35" s="12"/>
      <c r="U35" s="12"/>
      <c r="V35" s="18"/>
      <c r="W35" s="10">
        <f t="shared" si="4"/>
        <v>0</v>
      </c>
      <c r="X35" s="11"/>
      <c r="Y35" s="11">
        <f t="shared" si="5"/>
        <v>0</v>
      </c>
      <c r="Z35" s="10">
        <f>IF(Inställningar!$B$5="",0,Inställningar!$B$5)</f>
        <v>850</v>
      </c>
      <c r="AA35" s="10">
        <f t="shared" si="6"/>
        <v>0</v>
      </c>
      <c r="AB35" s="4"/>
      <c r="AC35" s="13">
        <f>IF(Inställningar!$B$6="",0,Inställningar!$B$6)</f>
        <v>0.15</v>
      </c>
      <c r="AD35" s="10">
        <f t="shared" si="7"/>
        <v>0</v>
      </c>
      <c r="AE35" s="12"/>
    </row>
    <row r="36" spans="1:31">
      <c r="A36" s="7" t="s">
        <v>85</v>
      </c>
      <c r="B36" s="7"/>
      <c r="C36" s="7"/>
      <c r="D36" s="7"/>
      <c r="E36" s="7"/>
      <c r="F36" s="7"/>
      <c r="G36" s="8"/>
      <c r="H36" s="9"/>
      <c r="I36" s="7" t="s">
        <v>85</v>
      </c>
      <c r="J36" s="7" t="s">
        <v>85</v>
      </c>
      <c r="K36" s="10" t="str">
        <f t="shared" si="0"/>
        <v/>
      </c>
      <c r="L36" s="11" t="str">
        <f t="shared" si="1"/>
        <v/>
      </c>
      <c r="M36" s="10" t="str">
        <f t="shared" si="2"/>
        <v/>
      </c>
      <c r="N36" s="11" t="str">
        <f t="shared" si="3"/>
        <v/>
      </c>
      <c r="O36" s="3"/>
      <c r="P36" s="3"/>
      <c r="Q36" s="12"/>
      <c r="R36" s="12"/>
      <c r="S36" s="12"/>
      <c r="T36" s="12"/>
      <c r="U36" s="12"/>
      <c r="V36" s="18"/>
      <c r="W36" s="10">
        <f t="shared" si="4"/>
        <v>0</v>
      </c>
      <c r="X36" s="11"/>
      <c r="Y36" s="11">
        <f t="shared" si="5"/>
        <v>0</v>
      </c>
      <c r="Z36" s="10">
        <f>IF(Inställningar!$B$5="",0,Inställningar!$B$5)</f>
        <v>850</v>
      </c>
      <c r="AA36" s="10">
        <f t="shared" si="6"/>
        <v>0</v>
      </c>
      <c r="AB36" s="4"/>
      <c r="AC36" s="13">
        <f>IF(Inställningar!$B$6="",0,Inställningar!$B$6)</f>
        <v>0.15</v>
      </c>
      <c r="AD36" s="10">
        <f t="shared" si="7"/>
        <v>0</v>
      </c>
      <c r="AE36" s="12"/>
    </row>
    <row r="37" spans="1:31">
      <c r="A37" s="7" t="s">
        <v>85</v>
      </c>
      <c r="B37" s="7"/>
      <c r="C37" s="7"/>
      <c r="D37" s="7"/>
      <c r="E37" s="7"/>
      <c r="F37" s="7"/>
      <c r="G37" s="8"/>
      <c r="H37" s="9"/>
      <c r="I37" s="7" t="s">
        <v>85</v>
      </c>
      <c r="J37" s="7" t="s">
        <v>85</v>
      </c>
      <c r="K37" s="10" t="str">
        <f t="shared" si="0"/>
        <v/>
      </c>
      <c r="L37" s="11" t="str">
        <f t="shared" si="1"/>
        <v/>
      </c>
      <c r="M37" s="10" t="str">
        <f t="shared" si="2"/>
        <v/>
      </c>
      <c r="N37" s="11" t="str">
        <f t="shared" si="3"/>
        <v/>
      </c>
      <c r="O37" s="3"/>
      <c r="P37" s="3"/>
      <c r="Q37" s="12"/>
      <c r="R37" s="12"/>
      <c r="S37" s="12"/>
      <c r="T37" s="12"/>
      <c r="U37" s="12"/>
      <c r="V37" s="18"/>
      <c r="W37" s="10">
        <f t="shared" si="4"/>
        <v>0</v>
      </c>
      <c r="X37" s="11"/>
      <c r="Y37" s="11">
        <f t="shared" si="5"/>
        <v>0</v>
      </c>
      <c r="Z37" s="10">
        <f>IF(Inställningar!$B$5="",0,Inställningar!$B$5)</f>
        <v>850</v>
      </c>
      <c r="AA37" s="10">
        <f t="shared" si="6"/>
        <v>0</v>
      </c>
      <c r="AB37" s="4"/>
      <c r="AC37" s="13">
        <f>IF(Inställningar!$B$6="",0,Inställningar!$B$6)</f>
        <v>0.15</v>
      </c>
      <c r="AD37" s="10">
        <f t="shared" si="7"/>
        <v>0</v>
      </c>
      <c r="AE37" s="12"/>
    </row>
    <row r="38" spans="1:31">
      <c r="A38" s="7" t="s">
        <v>85</v>
      </c>
      <c r="B38" s="7"/>
      <c r="C38" s="7"/>
      <c r="D38" s="7"/>
      <c r="E38" s="7"/>
      <c r="F38" s="7"/>
      <c r="G38" s="8"/>
      <c r="H38" s="9"/>
      <c r="I38" s="7" t="s">
        <v>85</v>
      </c>
      <c r="J38" s="7" t="s">
        <v>85</v>
      </c>
      <c r="K38" s="10" t="str">
        <f t="shared" si="0"/>
        <v/>
      </c>
      <c r="L38" s="11" t="str">
        <f t="shared" si="1"/>
        <v/>
      </c>
      <c r="M38" s="10" t="str">
        <f t="shared" si="2"/>
        <v/>
      </c>
      <c r="N38" s="11" t="str">
        <f t="shared" si="3"/>
        <v/>
      </c>
      <c r="O38" s="3"/>
      <c r="P38" s="3"/>
      <c r="Q38" s="12"/>
      <c r="R38" s="12"/>
      <c r="S38" s="12"/>
      <c r="T38" s="12"/>
      <c r="U38" s="12"/>
      <c r="V38" s="18"/>
      <c r="W38" s="10">
        <f t="shared" si="4"/>
        <v>0</v>
      </c>
      <c r="X38" s="11"/>
      <c r="Y38" s="11">
        <f t="shared" si="5"/>
        <v>0</v>
      </c>
      <c r="Z38" s="10">
        <f>IF(Inställningar!$B$5="",0,Inställningar!$B$5)</f>
        <v>850</v>
      </c>
      <c r="AA38" s="10">
        <f t="shared" si="6"/>
        <v>0</v>
      </c>
      <c r="AB38" s="4"/>
      <c r="AC38" s="13">
        <f>IF(Inställningar!$B$6="",0,Inställningar!$B$6)</f>
        <v>0.15</v>
      </c>
      <c r="AD38" s="10">
        <f t="shared" si="7"/>
        <v>0</v>
      </c>
      <c r="AE38" s="12"/>
    </row>
    <row r="39" spans="1:31">
      <c r="A39" s="7" t="s">
        <v>85</v>
      </c>
      <c r="B39" s="7"/>
      <c r="C39" s="7"/>
      <c r="D39" s="7"/>
      <c r="E39" s="7"/>
      <c r="F39" s="7"/>
      <c r="G39" s="8"/>
      <c r="H39" s="9"/>
      <c r="I39" s="7" t="s">
        <v>85</v>
      </c>
      <c r="J39" s="7" t="s">
        <v>85</v>
      </c>
      <c r="K39" s="10" t="str">
        <f t="shared" si="0"/>
        <v/>
      </c>
      <c r="L39" s="11" t="str">
        <f t="shared" si="1"/>
        <v/>
      </c>
      <c r="M39" s="10" t="str">
        <f t="shared" si="2"/>
        <v/>
      </c>
      <c r="N39" s="11" t="str">
        <f t="shared" si="3"/>
        <v/>
      </c>
      <c r="O39" s="3"/>
      <c r="P39" s="3"/>
      <c r="Q39" s="12"/>
      <c r="R39" s="12"/>
      <c r="S39" s="12"/>
      <c r="T39" s="12"/>
      <c r="U39" s="12"/>
      <c r="V39" s="18"/>
      <c r="W39" s="10">
        <f t="shared" ref="W39:W70" si="8">IF(OR(T39="",V39=""),0,T39*V39)</f>
        <v>0</v>
      </c>
      <c r="X39" s="11"/>
      <c r="Y39" s="11">
        <f t="shared" ref="Y39:Y70" si="9">IF(OR(T39="",X39=""),0,T39*X39)</f>
        <v>0</v>
      </c>
      <c r="Z39" s="10">
        <f>IF(Inställningar!$B$5="",0,Inställningar!$B$5)</f>
        <v>850</v>
      </c>
      <c r="AA39" s="10">
        <f t="shared" ref="AA39:AA70" si="10">Y39*Z39</f>
        <v>0</v>
      </c>
      <c r="AB39" s="4"/>
      <c r="AC39" s="13">
        <f>IF(Inställningar!$B$6="",0,Inställningar!$B$6)</f>
        <v>0.15</v>
      </c>
      <c r="AD39" s="10">
        <f t="shared" ref="AD39:AD70" si="11">ROUND((W39+AA39+IF(AB39="",0,AB39))*(1+AC39),0)</f>
        <v>0</v>
      </c>
      <c r="AE39" s="12"/>
    </row>
    <row r="40" spans="1:31">
      <c r="A40" s="7" t="s">
        <v>85</v>
      </c>
      <c r="B40" s="7"/>
      <c r="C40" s="7"/>
      <c r="D40" s="7"/>
      <c r="E40" s="7"/>
      <c r="F40" s="7"/>
      <c r="G40" s="8"/>
      <c r="H40" s="9"/>
      <c r="I40" s="7" t="s">
        <v>85</v>
      </c>
      <c r="J40" s="7" t="s">
        <v>85</v>
      </c>
      <c r="K40" s="10" t="str">
        <f t="shared" si="0"/>
        <v/>
      </c>
      <c r="L40" s="11" t="str">
        <f t="shared" si="1"/>
        <v/>
      </c>
      <c r="M40" s="10" t="str">
        <f t="shared" si="2"/>
        <v/>
      </c>
      <c r="N40" s="11" t="str">
        <f t="shared" si="3"/>
        <v/>
      </c>
      <c r="O40" s="3"/>
      <c r="P40" s="3"/>
      <c r="Q40" s="12"/>
      <c r="R40" s="12"/>
      <c r="S40" s="12"/>
      <c r="T40" s="12"/>
      <c r="U40" s="12"/>
      <c r="V40" s="18"/>
      <c r="W40" s="10">
        <f t="shared" si="8"/>
        <v>0</v>
      </c>
      <c r="X40" s="11"/>
      <c r="Y40" s="11">
        <f t="shared" si="9"/>
        <v>0</v>
      </c>
      <c r="Z40" s="10">
        <f>IF(Inställningar!$B$5="",0,Inställningar!$B$5)</f>
        <v>850</v>
      </c>
      <c r="AA40" s="10">
        <f t="shared" si="10"/>
        <v>0</v>
      </c>
      <c r="AB40" s="4"/>
      <c r="AC40" s="13">
        <f>IF(Inställningar!$B$6="",0,Inställningar!$B$6)</f>
        <v>0.15</v>
      </c>
      <c r="AD40" s="10">
        <f t="shared" si="11"/>
        <v>0</v>
      </c>
      <c r="AE40" s="12"/>
    </row>
    <row r="41" spans="1:31">
      <c r="A41" s="7" t="s">
        <v>85</v>
      </c>
      <c r="B41" s="7"/>
      <c r="C41" s="7"/>
      <c r="D41" s="7"/>
      <c r="E41" s="7"/>
      <c r="F41" s="7"/>
      <c r="G41" s="8"/>
      <c r="H41" s="9"/>
      <c r="I41" s="7" t="s">
        <v>85</v>
      </c>
      <c r="J41" s="7" t="s">
        <v>85</v>
      </c>
      <c r="K41" s="10" t="str">
        <f t="shared" si="0"/>
        <v/>
      </c>
      <c r="L41" s="11" t="str">
        <f t="shared" si="1"/>
        <v/>
      </c>
      <c r="M41" s="10" t="str">
        <f t="shared" si="2"/>
        <v/>
      </c>
      <c r="N41" s="11" t="str">
        <f t="shared" si="3"/>
        <v/>
      </c>
      <c r="O41" s="3"/>
      <c r="P41" s="3"/>
      <c r="Q41" s="12"/>
      <c r="R41" s="12"/>
      <c r="S41" s="12"/>
      <c r="T41" s="12"/>
      <c r="U41" s="12"/>
      <c r="V41" s="18"/>
      <c r="W41" s="10">
        <f t="shared" si="8"/>
        <v>0</v>
      </c>
      <c r="X41" s="11"/>
      <c r="Y41" s="11">
        <f t="shared" si="9"/>
        <v>0</v>
      </c>
      <c r="Z41" s="10">
        <f>IF(Inställningar!$B$5="",0,Inställningar!$B$5)</f>
        <v>850</v>
      </c>
      <c r="AA41" s="10">
        <f t="shared" si="10"/>
        <v>0</v>
      </c>
      <c r="AB41" s="4"/>
      <c r="AC41" s="13">
        <f>IF(Inställningar!$B$6="",0,Inställningar!$B$6)</f>
        <v>0.15</v>
      </c>
      <c r="AD41" s="10">
        <f t="shared" si="11"/>
        <v>0</v>
      </c>
      <c r="AE41" s="12"/>
    </row>
    <row r="42" spans="1:31">
      <c r="A42" s="7" t="s">
        <v>85</v>
      </c>
      <c r="B42" s="7"/>
      <c r="C42" s="7"/>
      <c r="D42" s="7"/>
      <c r="E42" s="7"/>
      <c r="F42" s="7"/>
      <c r="G42" s="8"/>
      <c r="H42" s="9"/>
      <c r="I42" s="7" t="s">
        <v>85</v>
      </c>
      <c r="J42" s="7" t="s">
        <v>85</v>
      </c>
      <c r="K42" s="10" t="str">
        <f t="shared" si="0"/>
        <v/>
      </c>
      <c r="L42" s="11" t="str">
        <f t="shared" si="1"/>
        <v/>
      </c>
      <c r="M42" s="10" t="str">
        <f t="shared" si="2"/>
        <v/>
      </c>
      <c r="N42" s="11" t="str">
        <f t="shared" si="3"/>
        <v/>
      </c>
      <c r="O42" s="3"/>
      <c r="P42" s="3"/>
      <c r="Q42" s="12"/>
      <c r="R42" s="12"/>
      <c r="S42" s="12"/>
      <c r="T42" s="12"/>
      <c r="U42" s="12"/>
      <c r="V42" s="18"/>
      <c r="W42" s="10">
        <f t="shared" si="8"/>
        <v>0</v>
      </c>
      <c r="X42" s="11"/>
      <c r="Y42" s="11">
        <f t="shared" si="9"/>
        <v>0</v>
      </c>
      <c r="Z42" s="10">
        <f>IF(Inställningar!$B$5="",0,Inställningar!$B$5)</f>
        <v>850</v>
      </c>
      <c r="AA42" s="10">
        <f t="shared" si="10"/>
        <v>0</v>
      </c>
      <c r="AB42" s="4"/>
      <c r="AC42" s="13">
        <f>IF(Inställningar!$B$6="",0,Inställningar!$B$6)</f>
        <v>0.15</v>
      </c>
      <c r="AD42" s="10">
        <f t="shared" si="11"/>
        <v>0</v>
      </c>
      <c r="AE42" s="12"/>
    </row>
    <row r="43" spans="1:31">
      <c r="A43" s="7" t="s">
        <v>85</v>
      </c>
      <c r="B43" s="7"/>
      <c r="C43" s="7"/>
      <c r="D43" s="7"/>
      <c r="E43" s="7"/>
      <c r="F43" s="7"/>
      <c r="G43" s="8"/>
      <c r="H43" s="9"/>
      <c r="I43" s="7" t="s">
        <v>85</v>
      </c>
      <c r="J43" s="7" t="s">
        <v>85</v>
      </c>
      <c r="K43" s="10" t="str">
        <f t="shared" si="0"/>
        <v/>
      </c>
      <c r="L43" s="11" t="str">
        <f t="shared" si="1"/>
        <v/>
      </c>
      <c r="M43" s="10" t="str">
        <f t="shared" si="2"/>
        <v/>
      </c>
      <c r="N43" s="11" t="str">
        <f t="shared" si="3"/>
        <v/>
      </c>
      <c r="O43" s="3"/>
      <c r="P43" s="3"/>
      <c r="Q43" s="12"/>
      <c r="R43" s="12"/>
      <c r="S43" s="12"/>
      <c r="T43" s="12"/>
      <c r="U43" s="12"/>
      <c r="V43" s="18"/>
      <c r="W43" s="10">
        <f t="shared" si="8"/>
        <v>0</v>
      </c>
      <c r="X43" s="11"/>
      <c r="Y43" s="11">
        <f t="shared" si="9"/>
        <v>0</v>
      </c>
      <c r="Z43" s="10">
        <f>IF(Inställningar!$B$5="",0,Inställningar!$B$5)</f>
        <v>850</v>
      </c>
      <c r="AA43" s="10">
        <f t="shared" si="10"/>
        <v>0</v>
      </c>
      <c r="AB43" s="4"/>
      <c r="AC43" s="13">
        <f>IF(Inställningar!$B$6="",0,Inställningar!$B$6)</f>
        <v>0.15</v>
      </c>
      <c r="AD43" s="10">
        <f t="shared" si="11"/>
        <v>0</v>
      </c>
      <c r="AE43" s="12"/>
    </row>
    <row r="44" spans="1:31">
      <c r="A44" s="7" t="s">
        <v>85</v>
      </c>
      <c r="B44" s="7"/>
      <c r="C44" s="7"/>
      <c r="D44" s="7"/>
      <c r="E44" s="7"/>
      <c r="F44" s="7"/>
      <c r="G44" s="8"/>
      <c r="H44" s="9"/>
      <c r="I44" s="7" t="s">
        <v>85</v>
      </c>
      <c r="J44" s="7" t="s">
        <v>85</v>
      </c>
      <c r="K44" s="10" t="str">
        <f t="shared" si="0"/>
        <v/>
      </c>
      <c r="L44" s="11" t="str">
        <f t="shared" si="1"/>
        <v/>
      </c>
      <c r="M44" s="10" t="str">
        <f t="shared" si="2"/>
        <v/>
      </c>
      <c r="N44" s="11" t="str">
        <f t="shared" si="3"/>
        <v/>
      </c>
      <c r="O44" s="3"/>
      <c r="P44" s="3"/>
      <c r="Q44" s="12"/>
      <c r="R44" s="12"/>
      <c r="S44" s="12"/>
      <c r="T44" s="12"/>
      <c r="U44" s="12"/>
      <c r="V44" s="18"/>
      <c r="W44" s="10">
        <f t="shared" si="8"/>
        <v>0</v>
      </c>
      <c r="X44" s="11"/>
      <c r="Y44" s="11">
        <f t="shared" si="9"/>
        <v>0</v>
      </c>
      <c r="Z44" s="10">
        <f>IF(Inställningar!$B$5="",0,Inställningar!$B$5)</f>
        <v>850</v>
      </c>
      <c r="AA44" s="10">
        <f t="shared" si="10"/>
        <v>0</v>
      </c>
      <c r="AB44" s="4"/>
      <c r="AC44" s="13">
        <f>IF(Inställningar!$B$6="",0,Inställningar!$B$6)</f>
        <v>0.15</v>
      </c>
      <c r="AD44" s="10">
        <f t="shared" si="11"/>
        <v>0</v>
      </c>
      <c r="AE44" s="12"/>
    </row>
    <row r="45" spans="1:31">
      <c r="A45" s="7" t="s">
        <v>85</v>
      </c>
      <c r="B45" s="7"/>
      <c r="C45" s="7"/>
      <c r="D45" s="7"/>
      <c r="E45" s="7"/>
      <c r="F45" s="7"/>
      <c r="G45" s="8"/>
      <c r="H45" s="9"/>
      <c r="I45" s="7" t="s">
        <v>85</v>
      </c>
      <c r="J45" s="7" t="s">
        <v>85</v>
      </c>
      <c r="K45" s="10" t="str">
        <f t="shared" si="0"/>
        <v/>
      </c>
      <c r="L45" s="11" t="str">
        <f t="shared" si="1"/>
        <v/>
      </c>
      <c r="M45" s="10" t="str">
        <f t="shared" si="2"/>
        <v/>
      </c>
      <c r="N45" s="11" t="str">
        <f t="shared" si="3"/>
        <v/>
      </c>
      <c r="O45" s="3"/>
      <c r="P45" s="3"/>
      <c r="Q45" s="12"/>
      <c r="R45" s="12"/>
      <c r="S45" s="12"/>
      <c r="T45" s="12"/>
      <c r="U45" s="12"/>
      <c r="V45" s="18"/>
      <c r="W45" s="10">
        <f t="shared" si="8"/>
        <v>0</v>
      </c>
      <c r="X45" s="11"/>
      <c r="Y45" s="11">
        <f t="shared" si="9"/>
        <v>0</v>
      </c>
      <c r="Z45" s="10">
        <f>IF(Inställningar!$B$5="",0,Inställningar!$B$5)</f>
        <v>850</v>
      </c>
      <c r="AA45" s="10">
        <f t="shared" si="10"/>
        <v>0</v>
      </c>
      <c r="AB45" s="4"/>
      <c r="AC45" s="13">
        <f>IF(Inställningar!$B$6="",0,Inställningar!$B$6)</f>
        <v>0.15</v>
      </c>
      <c r="AD45" s="10">
        <f t="shared" si="11"/>
        <v>0</v>
      </c>
      <c r="AE45" s="12"/>
    </row>
    <row r="46" spans="1:31">
      <c r="A46" s="7" t="s">
        <v>85</v>
      </c>
      <c r="B46" s="7"/>
      <c r="C46" s="7"/>
      <c r="D46" s="7"/>
      <c r="E46" s="7"/>
      <c r="F46" s="7"/>
      <c r="G46" s="8"/>
      <c r="H46" s="9"/>
      <c r="I46" s="7" t="s">
        <v>85</v>
      </c>
      <c r="J46" s="7" t="s">
        <v>85</v>
      </c>
      <c r="K46" s="10" t="str">
        <f t="shared" si="0"/>
        <v/>
      </c>
      <c r="L46" s="11" t="str">
        <f t="shared" si="1"/>
        <v/>
      </c>
      <c r="M46" s="10" t="str">
        <f t="shared" si="2"/>
        <v/>
      </c>
      <c r="N46" s="11" t="str">
        <f t="shared" si="3"/>
        <v/>
      </c>
      <c r="O46" s="3"/>
      <c r="P46" s="3"/>
      <c r="Q46" s="12"/>
      <c r="R46" s="12"/>
      <c r="S46" s="12"/>
      <c r="T46" s="12"/>
      <c r="U46" s="12"/>
      <c r="V46" s="18"/>
      <c r="W46" s="10">
        <f t="shared" si="8"/>
        <v>0</v>
      </c>
      <c r="X46" s="11"/>
      <c r="Y46" s="11">
        <f t="shared" si="9"/>
        <v>0</v>
      </c>
      <c r="Z46" s="10">
        <f>IF(Inställningar!$B$5="",0,Inställningar!$B$5)</f>
        <v>850</v>
      </c>
      <c r="AA46" s="10">
        <f t="shared" si="10"/>
        <v>0</v>
      </c>
      <c r="AB46" s="4"/>
      <c r="AC46" s="13">
        <f>IF(Inställningar!$B$6="",0,Inställningar!$B$6)</f>
        <v>0.15</v>
      </c>
      <c r="AD46" s="10">
        <f t="shared" si="11"/>
        <v>0</v>
      </c>
      <c r="AE46" s="12"/>
    </row>
    <row r="47" spans="1:31">
      <c r="A47" s="7" t="s">
        <v>85</v>
      </c>
      <c r="B47" s="7"/>
      <c r="C47" s="7"/>
      <c r="D47" s="7"/>
      <c r="E47" s="7"/>
      <c r="F47" s="7"/>
      <c r="G47" s="8"/>
      <c r="H47" s="9"/>
      <c r="I47" s="7" t="s">
        <v>85</v>
      </c>
      <c r="J47" s="7" t="s">
        <v>85</v>
      </c>
      <c r="K47" s="10" t="str">
        <f t="shared" si="0"/>
        <v/>
      </c>
      <c r="L47" s="11" t="str">
        <f t="shared" si="1"/>
        <v/>
      </c>
      <c r="M47" s="10" t="str">
        <f t="shared" si="2"/>
        <v/>
      </c>
      <c r="N47" s="11" t="str">
        <f t="shared" si="3"/>
        <v/>
      </c>
      <c r="O47" s="3"/>
      <c r="P47" s="3"/>
      <c r="Q47" s="12"/>
      <c r="R47" s="12"/>
      <c r="S47" s="12"/>
      <c r="T47" s="12"/>
      <c r="U47" s="12"/>
      <c r="V47" s="18"/>
      <c r="W47" s="10">
        <f t="shared" si="8"/>
        <v>0</v>
      </c>
      <c r="X47" s="11"/>
      <c r="Y47" s="11">
        <f t="shared" si="9"/>
        <v>0</v>
      </c>
      <c r="Z47" s="10">
        <f>IF(Inställningar!$B$5="",0,Inställningar!$B$5)</f>
        <v>850</v>
      </c>
      <c r="AA47" s="10">
        <f t="shared" si="10"/>
        <v>0</v>
      </c>
      <c r="AB47" s="4"/>
      <c r="AC47" s="13">
        <f>IF(Inställningar!$B$6="",0,Inställningar!$B$6)</f>
        <v>0.15</v>
      </c>
      <c r="AD47" s="10">
        <f t="shared" si="11"/>
        <v>0</v>
      </c>
      <c r="AE47" s="12"/>
    </row>
    <row r="48" spans="1:31">
      <c r="A48" s="7" t="s">
        <v>85</v>
      </c>
      <c r="B48" s="7"/>
      <c r="C48" s="7"/>
      <c r="D48" s="7"/>
      <c r="E48" s="7"/>
      <c r="F48" s="7"/>
      <c r="G48" s="8"/>
      <c r="H48" s="9"/>
      <c r="I48" s="7" t="s">
        <v>85</v>
      </c>
      <c r="J48" s="7" t="s">
        <v>85</v>
      </c>
      <c r="K48" s="10" t="str">
        <f t="shared" si="0"/>
        <v/>
      </c>
      <c r="L48" s="11" t="str">
        <f t="shared" si="1"/>
        <v/>
      </c>
      <c r="M48" s="10" t="str">
        <f t="shared" si="2"/>
        <v/>
      </c>
      <c r="N48" s="11" t="str">
        <f t="shared" si="3"/>
        <v/>
      </c>
      <c r="O48" s="3"/>
      <c r="P48" s="3"/>
      <c r="Q48" s="12"/>
      <c r="R48" s="12"/>
      <c r="S48" s="12"/>
      <c r="T48" s="12"/>
      <c r="U48" s="12"/>
      <c r="V48" s="18"/>
      <c r="W48" s="10">
        <f t="shared" si="8"/>
        <v>0</v>
      </c>
      <c r="X48" s="11"/>
      <c r="Y48" s="11">
        <f t="shared" si="9"/>
        <v>0</v>
      </c>
      <c r="Z48" s="10">
        <f>IF(Inställningar!$B$5="",0,Inställningar!$B$5)</f>
        <v>850</v>
      </c>
      <c r="AA48" s="10">
        <f t="shared" si="10"/>
        <v>0</v>
      </c>
      <c r="AB48" s="4"/>
      <c r="AC48" s="13">
        <f>IF(Inställningar!$B$6="",0,Inställningar!$B$6)</f>
        <v>0.15</v>
      </c>
      <c r="AD48" s="10">
        <f t="shared" si="11"/>
        <v>0</v>
      </c>
      <c r="AE48" s="12"/>
    </row>
    <row r="49" spans="1:31">
      <c r="A49" s="7" t="s">
        <v>85</v>
      </c>
      <c r="B49" s="7"/>
      <c r="C49" s="7"/>
      <c r="D49" s="7"/>
      <c r="E49" s="7"/>
      <c r="F49" s="7"/>
      <c r="G49" s="8"/>
      <c r="H49" s="9"/>
      <c r="I49" s="7" t="s">
        <v>85</v>
      </c>
      <c r="J49" s="7" t="s">
        <v>85</v>
      </c>
      <c r="K49" s="10" t="str">
        <f t="shared" si="0"/>
        <v/>
      </c>
      <c r="L49" s="11" t="str">
        <f t="shared" si="1"/>
        <v/>
      </c>
      <c r="M49" s="10" t="str">
        <f t="shared" si="2"/>
        <v/>
      </c>
      <c r="N49" s="11" t="str">
        <f t="shared" si="3"/>
        <v/>
      </c>
      <c r="O49" s="3"/>
      <c r="P49" s="3"/>
      <c r="Q49" s="12"/>
      <c r="R49" s="12"/>
      <c r="S49" s="12"/>
      <c r="T49" s="12"/>
      <c r="U49" s="12"/>
      <c r="V49" s="18"/>
      <c r="W49" s="10">
        <f t="shared" si="8"/>
        <v>0</v>
      </c>
      <c r="X49" s="11"/>
      <c r="Y49" s="11">
        <f t="shared" si="9"/>
        <v>0</v>
      </c>
      <c r="Z49" s="10">
        <f>IF(Inställningar!$B$5="",0,Inställningar!$B$5)</f>
        <v>850</v>
      </c>
      <c r="AA49" s="10">
        <f t="shared" si="10"/>
        <v>0</v>
      </c>
      <c r="AB49" s="4"/>
      <c r="AC49" s="13">
        <f>IF(Inställningar!$B$6="",0,Inställningar!$B$6)</f>
        <v>0.15</v>
      </c>
      <c r="AD49" s="10">
        <f t="shared" si="11"/>
        <v>0</v>
      </c>
      <c r="AE49" s="12"/>
    </row>
    <row r="50" spans="1:31">
      <c r="A50" s="7" t="s">
        <v>85</v>
      </c>
      <c r="B50" s="7"/>
      <c r="C50" s="7"/>
      <c r="D50" s="7"/>
      <c r="E50" s="7"/>
      <c r="F50" s="7"/>
      <c r="G50" s="8"/>
      <c r="H50" s="9"/>
      <c r="I50" s="7" t="s">
        <v>85</v>
      </c>
      <c r="J50" s="7" t="s">
        <v>85</v>
      </c>
      <c r="K50" s="10" t="str">
        <f t="shared" si="0"/>
        <v/>
      </c>
      <c r="L50" s="11" t="str">
        <f t="shared" si="1"/>
        <v/>
      </c>
      <c r="M50" s="10" t="str">
        <f t="shared" si="2"/>
        <v/>
      </c>
      <c r="N50" s="11" t="str">
        <f t="shared" si="3"/>
        <v/>
      </c>
      <c r="O50" s="3"/>
      <c r="P50" s="3"/>
      <c r="Q50" s="12"/>
      <c r="R50" s="12"/>
      <c r="S50" s="12"/>
      <c r="T50" s="12"/>
      <c r="U50" s="12"/>
      <c r="V50" s="18"/>
      <c r="W50" s="10">
        <f t="shared" si="8"/>
        <v>0</v>
      </c>
      <c r="X50" s="11"/>
      <c r="Y50" s="11">
        <f t="shared" si="9"/>
        <v>0</v>
      </c>
      <c r="Z50" s="10">
        <f>IF(Inställningar!$B$5="",0,Inställningar!$B$5)</f>
        <v>850</v>
      </c>
      <c r="AA50" s="10">
        <f t="shared" si="10"/>
        <v>0</v>
      </c>
      <c r="AB50" s="4"/>
      <c r="AC50" s="13">
        <f>IF(Inställningar!$B$6="",0,Inställningar!$B$6)</f>
        <v>0.15</v>
      </c>
      <c r="AD50" s="10">
        <f t="shared" si="11"/>
        <v>0</v>
      </c>
      <c r="AE50" s="12"/>
    </row>
    <row r="51" spans="1:31">
      <c r="A51" s="7" t="s">
        <v>85</v>
      </c>
      <c r="B51" s="7"/>
      <c r="C51" s="7"/>
      <c r="D51" s="7"/>
      <c r="E51" s="7"/>
      <c r="F51" s="7"/>
      <c r="G51" s="8"/>
      <c r="H51" s="9"/>
      <c r="I51" s="7" t="s">
        <v>85</v>
      </c>
      <c r="J51" s="7" t="s">
        <v>85</v>
      </c>
      <c r="K51" s="10" t="str">
        <f t="shared" si="0"/>
        <v/>
      </c>
      <c r="L51" s="11" t="str">
        <f t="shared" si="1"/>
        <v/>
      </c>
      <c r="M51" s="10" t="str">
        <f t="shared" si="2"/>
        <v/>
      </c>
      <c r="N51" s="11" t="str">
        <f t="shared" si="3"/>
        <v/>
      </c>
      <c r="O51" s="3"/>
      <c r="P51" s="3"/>
      <c r="Q51" s="12"/>
      <c r="R51" s="12"/>
      <c r="S51" s="12"/>
      <c r="T51" s="12"/>
      <c r="U51" s="12"/>
      <c r="V51" s="18"/>
      <c r="W51" s="10">
        <f t="shared" si="8"/>
        <v>0</v>
      </c>
      <c r="X51" s="11"/>
      <c r="Y51" s="11">
        <f t="shared" si="9"/>
        <v>0</v>
      </c>
      <c r="Z51" s="10">
        <f>IF(Inställningar!$B$5="",0,Inställningar!$B$5)</f>
        <v>850</v>
      </c>
      <c r="AA51" s="10">
        <f t="shared" si="10"/>
        <v>0</v>
      </c>
      <c r="AB51" s="4"/>
      <c r="AC51" s="13">
        <f>IF(Inställningar!$B$6="",0,Inställningar!$B$6)</f>
        <v>0.15</v>
      </c>
      <c r="AD51" s="10">
        <f t="shared" si="11"/>
        <v>0</v>
      </c>
      <c r="AE51" s="12"/>
    </row>
    <row r="52" spans="1:3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12"/>
      <c r="R52" s="12"/>
      <c r="S52" s="12"/>
      <c r="T52" s="12"/>
      <c r="U52" s="12"/>
      <c r="V52" s="18"/>
      <c r="W52" s="10">
        <f t="shared" si="8"/>
        <v>0</v>
      </c>
      <c r="X52" s="11"/>
      <c r="Y52" s="11">
        <f t="shared" si="9"/>
        <v>0</v>
      </c>
      <c r="Z52" s="10">
        <f>IF(Inställningar!$B$5="",0,Inställningar!$B$5)</f>
        <v>850</v>
      </c>
      <c r="AA52" s="10">
        <f t="shared" si="10"/>
        <v>0</v>
      </c>
      <c r="AB52" s="4"/>
      <c r="AC52" s="13">
        <f>IF(Inställningar!$B$6="",0,Inställningar!$B$6)</f>
        <v>0.15</v>
      </c>
      <c r="AD52" s="10">
        <f t="shared" si="11"/>
        <v>0</v>
      </c>
      <c r="AE52" s="12"/>
    </row>
    <row r="53" spans="1:3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12"/>
      <c r="R53" s="12"/>
      <c r="S53" s="12"/>
      <c r="T53" s="12"/>
      <c r="U53" s="12"/>
      <c r="V53" s="18"/>
      <c r="W53" s="10">
        <f t="shared" si="8"/>
        <v>0</v>
      </c>
      <c r="X53" s="11"/>
      <c r="Y53" s="11">
        <f t="shared" si="9"/>
        <v>0</v>
      </c>
      <c r="Z53" s="10">
        <f>IF(Inställningar!$B$5="",0,Inställningar!$B$5)</f>
        <v>850</v>
      </c>
      <c r="AA53" s="10">
        <f t="shared" si="10"/>
        <v>0</v>
      </c>
      <c r="AB53" s="4"/>
      <c r="AC53" s="13">
        <f>IF(Inställningar!$B$6="",0,Inställningar!$B$6)</f>
        <v>0.15</v>
      </c>
      <c r="AD53" s="10">
        <f t="shared" si="11"/>
        <v>0</v>
      </c>
      <c r="AE53" s="12"/>
    </row>
    <row r="54" spans="1:3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12"/>
      <c r="R54" s="12"/>
      <c r="S54" s="12"/>
      <c r="T54" s="12"/>
      <c r="U54" s="12"/>
      <c r="V54" s="18"/>
      <c r="W54" s="10">
        <f t="shared" si="8"/>
        <v>0</v>
      </c>
      <c r="X54" s="11"/>
      <c r="Y54" s="11">
        <f t="shared" si="9"/>
        <v>0</v>
      </c>
      <c r="Z54" s="10">
        <f>IF(Inställningar!$B$5="",0,Inställningar!$B$5)</f>
        <v>850</v>
      </c>
      <c r="AA54" s="10">
        <f t="shared" si="10"/>
        <v>0</v>
      </c>
      <c r="AB54" s="4"/>
      <c r="AC54" s="13">
        <f>IF(Inställningar!$B$6="",0,Inställningar!$B$6)</f>
        <v>0.15</v>
      </c>
      <c r="AD54" s="10">
        <f t="shared" si="11"/>
        <v>0</v>
      </c>
      <c r="AE54" s="12"/>
    </row>
    <row r="55" spans="1:3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12"/>
      <c r="R55" s="12"/>
      <c r="S55" s="12"/>
      <c r="T55" s="12"/>
      <c r="U55" s="12"/>
      <c r="V55" s="18"/>
      <c r="W55" s="10">
        <f t="shared" si="8"/>
        <v>0</v>
      </c>
      <c r="X55" s="11"/>
      <c r="Y55" s="11">
        <f t="shared" si="9"/>
        <v>0</v>
      </c>
      <c r="Z55" s="10">
        <f>IF(Inställningar!$B$5="",0,Inställningar!$B$5)</f>
        <v>850</v>
      </c>
      <c r="AA55" s="10">
        <f t="shared" si="10"/>
        <v>0</v>
      </c>
      <c r="AB55" s="4"/>
      <c r="AC55" s="13">
        <f>IF(Inställningar!$B$6="",0,Inställningar!$B$6)</f>
        <v>0.15</v>
      </c>
      <c r="AD55" s="10">
        <f t="shared" si="11"/>
        <v>0</v>
      </c>
      <c r="AE55" s="12"/>
    </row>
    <row r="56" spans="1:3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12"/>
      <c r="R56" s="12"/>
      <c r="S56" s="12"/>
      <c r="T56" s="12"/>
      <c r="U56" s="12"/>
      <c r="V56" s="18"/>
      <c r="W56" s="10">
        <f t="shared" si="8"/>
        <v>0</v>
      </c>
      <c r="X56" s="11"/>
      <c r="Y56" s="11">
        <f t="shared" si="9"/>
        <v>0</v>
      </c>
      <c r="Z56" s="10">
        <f>IF(Inställningar!$B$5="",0,Inställningar!$B$5)</f>
        <v>850</v>
      </c>
      <c r="AA56" s="10">
        <f t="shared" si="10"/>
        <v>0</v>
      </c>
      <c r="AB56" s="4"/>
      <c r="AC56" s="13">
        <f>IF(Inställningar!$B$6="",0,Inställningar!$B$6)</f>
        <v>0.15</v>
      </c>
      <c r="AD56" s="10">
        <f t="shared" si="11"/>
        <v>0</v>
      </c>
      <c r="AE56" s="12"/>
    </row>
    <row r="57" spans="1:3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12"/>
      <c r="R57" s="12"/>
      <c r="S57" s="12"/>
      <c r="T57" s="12"/>
      <c r="U57" s="12"/>
      <c r="V57" s="18"/>
      <c r="W57" s="10">
        <f t="shared" si="8"/>
        <v>0</v>
      </c>
      <c r="X57" s="11"/>
      <c r="Y57" s="11">
        <f t="shared" si="9"/>
        <v>0</v>
      </c>
      <c r="Z57" s="10">
        <f>IF(Inställningar!$B$5="",0,Inställningar!$B$5)</f>
        <v>850</v>
      </c>
      <c r="AA57" s="10">
        <f t="shared" si="10"/>
        <v>0</v>
      </c>
      <c r="AB57" s="4"/>
      <c r="AC57" s="13">
        <f>IF(Inställningar!$B$6="",0,Inställningar!$B$6)</f>
        <v>0.15</v>
      </c>
      <c r="AD57" s="10">
        <f t="shared" si="11"/>
        <v>0</v>
      </c>
      <c r="AE57" s="12"/>
    </row>
    <row r="58" spans="1:3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12"/>
      <c r="R58" s="12"/>
      <c r="S58" s="12"/>
      <c r="T58" s="12"/>
      <c r="U58" s="12"/>
      <c r="V58" s="18"/>
      <c r="W58" s="10">
        <f t="shared" si="8"/>
        <v>0</v>
      </c>
      <c r="X58" s="11"/>
      <c r="Y58" s="11">
        <f t="shared" si="9"/>
        <v>0</v>
      </c>
      <c r="Z58" s="10">
        <f>IF(Inställningar!$B$5="",0,Inställningar!$B$5)</f>
        <v>850</v>
      </c>
      <c r="AA58" s="10">
        <f t="shared" si="10"/>
        <v>0</v>
      </c>
      <c r="AB58" s="4"/>
      <c r="AC58" s="13">
        <f>IF(Inställningar!$B$6="",0,Inställningar!$B$6)</f>
        <v>0.15</v>
      </c>
      <c r="AD58" s="10">
        <f t="shared" si="11"/>
        <v>0</v>
      </c>
      <c r="AE58" s="12"/>
    </row>
    <row r="59" spans="1:3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12"/>
      <c r="R59" s="12"/>
      <c r="S59" s="12"/>
      <c r="T59" s="12"/>
      <c r="U59" s="12"/>
      <c r="V59" s="18"/>
      <c r="W59" s="10">
        <f t="shared" si="8"/>
        <v>0</v>
      </c>
      <c r="X59" s="11"/>
      <c r="Y59" s="11">
        <f t="shared" si="9"/>
        <v>0</v>
      </c>
      <c r="Z59" s="10">
        <f>IF(Inställningar!$B$5="",0,Inställningar!$B$5)</f>
        <v>850</v>
      </c>
      <c r="AA59" s="10">
        <f t="shared" si="10"/>
        <v>0</v>
      </c>
      <c r="AB59" s="4"/>
      <c r="AC59" s="13">
        <f>IF(Inställningar!$B$6="",0,Inställningar!$B$6)</f>
        <v>0.15</v>
      </c>
      <c r="AD59" s="10">
        <f t="shared" si="11"/>
        <v>0</v>
      </c>
      <c r="AE59" s="12"/>
    </row>
    <row r="60" spans="1:3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12"/>
      <c r="R60" s="12"/>
      <c r="S60" s="12"/>
      <c r="T60" s="12"/>
      <c r="U60" s="12"/>
      <c r="V60" s="18"/>
      <c r="W60" s="10">
        <f t="shared" si="8"/>
        <v>0</v>
      </c>
      <c r="X60" s="11"/>
      <c r="Y60" s="11">
        <f t="shared" si="9"/>
        <v>0</v>
      </c>
      <c r="Z60" s="10">
        <f>IF(Inställningar!$B$5="",0,Inställningar!$B$5)</f>
        <v>850</v>
      </c>
      <c r="AA60" s="10">
        <f t="shared" si="10"/>
        <v>0</v>
      </c>
      <c r="AB60" s="4"/>
      <c r="AC60" s="13">
        <f>IF(Inställningar!$B$6="",0,Inställningar!$B$6)</f>
        <v>0.15</v>
      </c>
      <c r="AD60" s="10">
        <f t="shared" si="11"/>
        <v>0</v>
      </c>
      <c r="AE60" s="12"/>
    </row>
    <row r="61" spans="1:3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12"/>
      <c r="R61" s="12"/>
      <c r="S61" s="12"/>
      <c r="T61" s="12"/>
      <c r="U61" s="12"/>
      <c r="V61" s="18"/>
      <c r="W61" s="10">
        <f t="shared" si="8"/>
        <v>0</v>
      </c>
      <c r="X61" s="11"/>
      <c r="Y61" s="11">
        <f t="shared" si="9"/>
        <v>0</v>
      </c>
      <c r="Z61" s="10">
        <f>IF(Inställningar!$B$5="",0,Inställningar!$B$5)</f>
        <v>850</v>
      </c>
      <c r="AA61" s="10">
        <f t="shared" si="10"/>
        <v>0</v>
      </c>
      <c r="AB61" s="4"/>
      <c r="AC61" s="13">
        <f>IF(Inställningar!$B$6="",0,Inställningar!$B$6)</f>
        <v>0.15</v>
      </c>
      <c r="AD61" s="10">
        <f t="shared" si="11"/>
        <v>0</v>
      </c>
      <c r="AE61" s="12"/>
    </row>
    <row r="62" spans="1:3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12"/>
      <c r="R62" s="12"/>
      <c r="S62" s="12"/>
      <c r="T62" s="12"/>
      <c r="U62" s="12"/>
      <c r="V62" s="18"/>
      <c r="W62" s="10">
        <f t="shared" si="8"/>
        <v>0</v>
      </c>
      <c r="X62" s="11"/>
      <c r="Y62" s="11">
        <f t="shared" si="9"/>
        <v>0</v>
      </c>
      <c r="Z62" s="10">
        <f>IF(Inställningar!$B$5="",0,Inställningar!$B$5)</f>
        <v>850</v>
      </c>
      <c r="AA62" s="10">
        <f t="shared" si="10"/>
        <v>0</v>
      </c>
      <c r="AB62" s="4"/>
      <c r="AC62" s="13">
        <f>IF(Inställningar!$B$6="",0,Inställningar!$B$6)</f>
        <v>0.15</v>
      </c>
      <c r="AD62" s="10">
        <f t="shared" si="11"/>
        <v>0</v>
      </c>
      <c r="AE62" s="12"/>
    </row>
    <row r="63" spans="1:3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12"/>
      <c r="R63" s="12"/>
      <c r="S63" s="12"/>
      <c r="T63" s="12"/>
      <c r="U63" s="12"/>
      <c r="V63" s="18"/>
      <c r="W63" s="10">
        <f t="shared" si="8"/>
        <v>0</v>
      </c>
      <c r="X63" s="11"/>
      <c r="Y63" s="11">
        <f t="shared" si="9"/>
        <v>0</v>
      </c>
      <c r="Z63" s="10">
        <f>IF(Inställningar!$B$5="",0,Inställningar!$B$5)</f>
        <v>850</v>
      </c>
      <c r="AA63" s="10">
        <f t="shared" si="10"/>
        <v>0</v>
      </c>
      <c r="AB63" s="4"/>
      <c r="AC63" s="13">
        <f>IF(Inställningar!$B$6="",0,Inställningar!$B$6)</f>
        <v>0.15</v>
      </c>
      <c r="AD63" s="10">
        <f t="shared" si="11"/>
        <v>0</v>
      </c>
      <c r="AE63" s="12"/>
    </row>
    <row r="64" spans="1:3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12"/>
      <c r="R64" s="12"/>
      <c r="S64" s="12"/>
      <c r="T64" s="12"/>
      <c r="U64" s="12"/>
      <c r="V64" s="18"/>
      <c r="W64" s="10">
        <f t="shared" si="8"/>
        <v>0</v>
      </c>
      <c r="X64" s="11"/>
      <c r="Y64" s="11">
        <f t="shared" si="9"/>
        <v>0</v>
      </c>
      <c r="Z64" s="10">
        <f>IF(Inställningar!$B$5="",0,Inställningar!$B$5)</f>
        <v>850</v>
      </c>
      <c r="AA64" s="10">
        <f t="shared" si="10"/>
        <v>0</v>
      </c>
      <c r="AB64" s="4"/>
      <c r="AC64" s="13">
        <f>IF(Inställningar!$B$6="",0,Inställningar!$B$6)</f>
        <v>0.15</v>
      </c>
      <c r="AD64" s="10">
        <f t="shared" si="11"/>
        <v>0</v>
      </c>
      <c r="AE64" s="12"/>
    </row>
    <row r="65" spans="1:3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12"/>
      <c r="R65" s="12"/>
      <c r="S65" s="12"/>
      <c r="T65" s="12"/>
      <c r="U65" s="12"/>
      <c r="V65" s="18"/>
      <c r="W65" s="10">
        <f t="shared" si="8"/>
        <v>0</v>
      </c>
      <c r="X65" s="11"/>
      <c r="Y65" s="11">
        <f t="shared" si="9"/>
        <v>0</v>
      </c>
      <c r="Z65" s="10">
        <f>IF(Inställningar!$B$5="",0,Inställningar!$B$5)</f>
        <v>850</v>
      </c>
      <c r="AA65" s="10">
        <f t="shared" si="10"/>
        <v>0</v>
      </c>
      <c r="AB65" s="4"/>
      <c r="AC65" s="13">
        <f>IF(Inställningar!$B$6="",0,Inställningar!$B$6)</f>
        <v>0.15</v>
      </c>
      <c r="AD65" s="10">
        <f t="shared" si="11"/>
        <v>0</v>
      </c>
      <c r="AE65" s="12"/>
    </row>
    <row r="66" spans="1:3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12"/>
      <c r="R66" s="12"/>
      <c r="S66" s="12"/>
      <c r="T66" s="12"/>
      <c r="U66" s="12"/>
      <c r="V66" s="18"/>
      <c r="W66" s="10">
        <f t="shared" si="8"/>
        <v>0</v>
      </c>
      <c r="X66" s="11"/>
      <c r="Y66" s="11">
        <f t="shared" si="9"/>
        <v>0</v>
      </c>
      <c r="Z66" s="10">
        <f>IF(Inställningar!$B$5="",0,Inställningar!$B$5)</f>
        <v>850</v>
      </c>
      <c r="AA66" s="10">
        <f t="shared" si="10"/>
        <v>0</v>
      </c>
      <c r="AB66" s="4"/>
      <c r="AC66" s="13">
        <f>IF(Inställningar!$B$6="",0,Inställningar!$B$6)</f>
        <v>0.15</v>
      </c>
      <c r="AD66" s="10">
        <f t="shared" si="11"/>
        <v>0</v>
      </c>
      <c r="AE66" s="12"/>
    </row>
    <row r="67" spans="1:3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12"/>
      <c r="R67" s="12"/>
      <c r="S67" s="12"/>
      <c r="T67" s="12"/>
      <c r="U67" s="12"/>
      <c r="V67" s="18"/>
      <c r="W67" s="10">
        <f t="shared" si="8"/>
        <v>0</v>
      </c>
      <c r="X67" s="11"/>
      <c r="Y67" s="11">
        <f t="shared" si="9"/>
        <v>0</v>
      </c>
      <c r="Z67" s="10">
        <f>IF(Inställningar!$B$5="",0,Inställningar!$B$5)</f>
        <v>850</v>
      </c>
      <c r="AA67" s="10">
        <f t="shared" si="10"/>
        <v>0</v>
      </c>
      <c r="AB67" s="4"/>
      <c r="AC67" s="13">
        <f>IF(Inställningar!$B$6="",0,Inställningar!$B$6)</f>
        <v>0.15</v>
      </c>
      <c r="AD67" s="10">
        <f t="shared" si="11"/>
        <v>0</v>
      </c>
      <c r="AE67" s="12"/>
    </row>
    <row r="68" spans="1:3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12"/>
      <c r="R68" s="12"/>
      <c r="S68" s="12"/>
      <c r="T68" s="12"/>
      <c r="U68" s="12"/>
      <c r="V68" s="18"/>
      <c r="W68" s="10">
        <f t="shared" si="8"/>
        <v>0</v>
      </c>
      <c r="X68" s="11"/>
      <c r="Y68" s="11">
        <f t="shared" si="9"/>
        <v>0</v>
      </c>
      <c r="Z68" s="10">
        <f>IF(Inställningar!$B$5="",0,Inställningar!$B$5)</f>
        <v>850</v>
      </c>
      <c r="AA68" s="10">
        <f t="shared" si="10"/>
        <v>0</v>
      </c>
      <c r="AB68" s="4"/>
      <c r="AC68" s="13">
        <f>IF(Inställningar!$B$6="",0,Inställningar!$B$6)</f>
        <v>0.15</v>
      </c>
      <c r="AD68" s="10">
        <f t="shared" si="11"/>
        <v>0</v>
      </c>
      <c r="AE68" s="12"/>
    </row>
    <row r="69" spans="1:3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12"/>
      <c r="R69" s="12"/>
      <c r="S69" s="12"/>
      <c r="T69" s="12"/>
      <c r="U69" s="12"/>
      <c r="V69" s="18"/>
      <c r="W69" s="10">
        <f t="shared" si="8"/>
        <v>0</v>
      </c>
      <c r="X69" s="11"/>
      <c r="Y69" s="11">
        <f t="shared" si="9"/>
        <v>0</v>
      </c>
      <c r="Z69" s="10">
        <f>IF(Inställningar!$B$5="",0,Inställningar!$B$5)</f>
        <v>850</v>
      </c>
      <c r="AA69" s="10">
        <f t="shared" si="10"/>
        <v>0</v>
      </c>
      <c r="AB69" s="4"/>
      <c r="AC69" s="13">
        <f>IF(Inställningar!$B$6="",0,Inställningar!$B$6)</f>
        <v>0.15</v>
      </c>
      <c r="AD69" s="10">
        <f t="shared" si="11"/>
        <v>0</v>
      </c>
      <c r="AE69" s="12"/>
    </row>
    <row r="70" spans="1:3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2"/>
      <c r="R70" s="12"/>
      <c r="S70" s="12"/>
      <c r="T70" s="12"/>
      <c r="U70" s="12"/>
      <c r="V70" s="18"/>
      <c r="W70" s="10">
        <f t="shared" si="8"/>
        <v>0</v>
      </c>
      <c r="X70" s="11"/>
      <c r="Y70" s="11">
        <f t="shared" si="9"/>
        <v>0</v>
      </c>
      <c r="Z70" s="10">
        <f>IF(Inställningar!$B$5="",0,Inställningar!$B$5)</f>
        <v>850</v>
      </c>
      <c r="AA70" s="10">
        <f t="shared" si="10"/>
        <v>0</v>
      </c>
      <c r="AB70" s="4"/>
      <c r="AC70" s="13">
        <f>IF(Inställningar!$B$6="",0,Inställningar!$B$6)</f>
        <v>0.15</v>
      </c>
      <c r="AD70" s="10">
        <f t="shared" si="11"/>
        <v>0</v>
      </c>
      <c r="AE70" s="12"/>
    </row>
    <row r="71" spans="1:3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12"/>
      <c r="R71" s="12"/>
      <c r="S71" s="12"/>
      <c r="T71" s="12"/>
      <c r="U71" s="12"/>
      <c r="V71" s="18"/>
      <c r="W71" s="10">
        <f t="shared" ref="W71:W102" si="12">IF(OR(T71="",V71=""),0,T71*V71)</f>
        <v>0</v>
      </c>
      <c r="X71" s="11"/>
      <c r="Y71" s="11">
        <f t="shared" ref="Y71:Y102" si="13">IF(OR(T71="",X71=""),0,T71*X71)</f>
        <v>0</v>
      </c>
      <c r="Z71" s="10">
        <f>IF(Inställningar!$B$5="",0,Inställningar!$B$5)</f>
        <v>850</v>
      </c>
      <c r="AA71" s="10">
        <f t="shared" ref="AA71:AA102" si="14">Y71*Z71</f>
        <v>0</v>
      </c>
      <c r="AB71" s="4"/>
      <c r="AC71" s="13">
        <f>IF(Inställningar!$B$6="",0,Inställningar!$B$6)</f>
        <v>0.15</v>
      </c>
      <c r="AD71" s="10">
        <f t="shared" ref="AD71:AD102" si="15">ROUND((W71+AA71+IF(AB71="",0,AB71))*(1+AC71),0)</f>
        <v>0</v>
      </c>
      <c r="AE71" s="12"/>
    </row>
    <row r="72" spans="1:3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12"/>
      <c r="R72" s="12"/>
      <c r="S72" s="12"/>
      <c r="T72" s="12"/>
      <c r="U72" s="12"/>
      <c r="V72" s="18"/>
      <c r="W72" s="10">
        <f t="shared" si="12"/>
        <v>0</v>
      </c>
      <c r="X72" s="11"/>
      <c r="Y72" s="11">
        <f t="shared" si="13"/>
        <v>0</v>
      </c>
      <c r="Z72" s="10">
        <f>IF(Inställningar!$B$5="",0,Inställningar!$B$5)</f>
        <v>850</v>
      </c>
      <c r="AA72" s="10">
        <f t="shared" si="14"/>
        <v>0</v>
      </c>
      <c r="AB72" s="4"/>
      <c r="AC72" s="13">
        <f>IF(Inställningar!$B$6="",0,Inställningar!$B$6)</f>
        <v>0.15</v>
      </c>
      <c r="AD72" s="10">
        <f t="shared" si="15"/>
        <v>0</v>
      </c>
      <c r="AE72" s="12"/>
    </row>
    <row r="73" spans="1:3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12"/>
      <c r="R73" s="12"/>
      <c r="S73" s="12"/>
      <c r="T73" s="12"/>
      <c r="U73" s="12"/>
      <c r="V73" s="18"/>
      <c r="W73" s="10">
        <f t="shared" si="12"/>
        <v>0</v>
      </c>
      <c r="X73" s="11"/>
      <c r="Y73" s="11">
        <f t="shared" si="13"/>
        <v>0</v>
      </c>
      <c r="Z73" s="10">
        <f>IF(Inställningar!$B$5="",0,Inställningar!$B$5)</f>
        <v>850</v>
      </c>
      <c r="AA73" s="10">
        <f t="shared" si="14"/>
        <v>0</v>
      </c>
      <c r="AB73" s="4"/>
      <c r="AC73" s="13">
        <f>IF(Inställningar!$B$6="",0,Inställningar!$B$6)</f>
        <v>0.15</v>
      </c>
      <c r="AD73" s="10">
        <f t="shared" si="15"/>
        <v>0</v>
      </c>
      <c r="AE73" s="12"/>
    </row>
    <row r="74" spans="1:3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12"/>
      <c r="R74" s="12"/>
      <c r="S74" s="12"/>
      <c r="T74" s="12"/>
      <c r="U74" s="12"/>
      <c r="V74" s="18"/>
      <c r="W74" s="10">
        <f t="shared" si="12"/>
        <v>0</v>
      </c>
      <c r="X74" s="11"/>
      <c r="Y74" s="11">
        <f t="shared" si="13"/>
        <v>0</v>
      </c>
      <c r="Z74" s="10">
        <f>IF(Inställningar!$B$5="",0,Inställningar!$B$5)</f>
        <v>850</v>
      </c>
      <c r="AA74" s="10">
        <f t="shared" si="14"/>
        <v>0</v>
      </c>
      <c r="AB74" s="4"/>
      <c r="AC74" s="13">
        <f>IF(Inställningar!$B$6="",0,Inställningar!$B$6)</f>
        <v>0.15</v>
      </c>
      <c r="AD74" s="10">
        <f t="shared" si="15"/>
        <v>0</v>
      </c>
      <c r="AE74" s="12"/>
    </row>
    <row r="75" spans="1:3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12"/>
      <c r="R75" s="12"/>
      <c r="S75" s="12"/>
      <c r="T75" s="12"/>
      <c r="U75" s="12"/>
      <c r="V75" s="18"/>
      <c r="W75" s="10">
        <f t="shared" si="12"/>
        <v>0</v>
      </c>
      <c r="X75" s="11"/>
      <c r="Y75" s="11">
        <f t="shared" si="13"/>
        <v>0</v>
      </c>
      <c r="Z75" s="10">
        <f>IF(Inställningar!$B$5="",0,Inställningar!$B$5)</f>
        <v>850</v>
      </c>
      <c r="AA75" s="10">
        <f t="shared" si="14"/>
        <v>0</v>
      </c>
      <c r="AB75" s="4"/>
      <c r="AC75" s="13">
        <f>IF(Inställningar!$B$6="",0,Inställningar!$B$6)</f>
        <v>0.15</v>
      </c>
      <c r="AD75" s="10">
        <f t="shared" si="15"/>
        <v>0</v>
      </c>
      <c r="AE75" s="12"/>
    </row>
    <row r="76" spans="1:3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12"/>
      <c r="R76" s="12"/>
      <c r="S76" s="12"/>
      <c r="T76" s="12"/>
      <c r="U76" s="12"/>
      <c r="V76" s="18"/>
      <c r="W76" s="10">
        <f t="shared" si="12"/>
        <v>0</v>
      </c>
      <c r="X76" s="11"/>
      <c r="Y76" s="11">
        <f t="shared" si="13"/>
        <v>0</v>
      </c>
      <c r="Z76" s="10">
        <f>IF(Inställningar!$B$5="",0,Inställningar!$B$5)</f>
        <v>850</v>
      </c>
      <c r="AA76" s="10">
        <f t="shared" si="14"/>
        <v>0</v>
      </c>
      <c r="AB76" s="4"/>
      <c r="AC76" s="13">
        <f>IF(Inställningar!$B$6="",0,Inställningar!$B$6)</f>
        <v>0.15</v>
      </c>
      <c r="AD76" s="10">
        <f t="shared" si="15"/>
        <v>0</v>
      </c>
      <c r="AE76" s="12"/>
    </row>
    <row r="77" spans="1:3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12"/>
      <c r="R77" s="12"/>
      <c r="S77" s="12"/>
      <c r="T77" s="12"/>
      <c r="U77" s="12"/>
      <c r="V77" s="18"/>
      <c r="W77" s="10">
        <f t="shared" si="12"/>
        <v>0</v>
      </c>
      <c r="X77" s="11"/>
      <c r="Y77" s="11">
        <f t="shared" si="13"/>
        <v>0</v>
      </c>
      <c r="Z77" s="10">
        <f>IF(Inställningar!$B$5="",0,Inställningar!$B$5)</f>
        <v>850</v>
      </c>
      <c r="AA77" s="10">
        <f t="shared" si="14"/>
        <v>0</v>
      </c>
      <c r="AB77" s="4"/>
      <c r="AC77" s="13">
        <f>IF(Inställningar!$B$6="",0,Inställningar!$B$6)</f>
        <v>0.15</v>
      </c>
      <c r="AD77" s="10">
        <f t="shared" si="15"/>
        <v>0</v>
      </c>
      <c r="AE77" s="12"/>
    </row>
    <row r="78" spans="1:3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12"/>
      <c r="R78" s="12"/>
      <c r="S78" s="12"/>
      <c r="T78" s="12"/>
      <c r="U78" s="12"/>
      <c r="V78" s="18"/>
      <c r="W78" s="10">
        <f t="shared" si="12"/>
        <v>0</v>
      </c>
      <c r="X78" s="11"/>
      <c r="Y78" s="11">
        <f t="shared" si="13"/>
        <v>0</v>
      </c>
      <c r="Z78" s="10">
        <f>IF(Inställningar!$B$5="",0,Inställningar!$B$5)</f>
        <v>850</v>
      </c>
      <c r="AA78" s="10">
        <f t="shared" si="14"/>
        <v>0</v>
      </c>
      <c r="AB78" s="4"/>
      <c r="AC78" s="13">
        <f>IF(Inställningar!$B$6="",0,Inställningar!$B$6)</f>
        <v>0.15</v>
      </c>
      <c r="AD78" s="10">
        <f t="shared" si="15"/>
        <v>0</v>
      </c>
      <c r="AE78" s="12"/>
    </row>
    <row r="79" spans="1:3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12"/>
      <c r="R79" s="12"/>
      <c r="S79" s="12"/>
      <c r="T79" s="12"/>
      <c r="U79" s="12"/>
      <c r="V79" s="18"/>
      <c r="W79" s="10">
        <f t="shared" si="12"/>
        <v>0</v>
      </c>
      <c r="X79" s="11"/>
      <c r="Y79" s="11">
        <f t="shared" si="13"/>
        <v>0</v>
      </c>
      <c r="Z79" s="10">
        <f>IF(Inställningar!$B$5="",0,Inställningar!$B$5)</f>
        <v>850</v>
      </c>
      <c r="AA79" s="10">
        <f t="shared" si="14"/>
        <v>0</v>
      </c>
      <c r="AB79" s="4"/>
      <c r="AC79" s="13">
        <f>IF(Inställningar!$B$6="",0,Inställningar!$B$6)</f>
        <v>0.15</v>
      </c>
      <c r="AD79" s="10">
        <f t="shared" si="15"/>
        <v>0</v>
      </c>
      <c r="AE79" s="12"/>
    </row>
    <row r="80" spans="1:3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12"/>
      <c r="R80" s="12"/>
      <c r="S80" s="12"/>
      <c r="T80" s="12"/>
      <c r="U80" s="12"/>
      <c r="V80" s="18"/>
      <c r="W80" s="10">
        <f t="shared" si="12"/>
        <v>0</v>
      </c>
      <c r="X80" s="11"/>
      <c r="Y80" s="11">
        <f t="shared" si="13"/>
        <v>0</v>
      </c>
      <c r="Z80" s="10">
        <f>IF(Inställningar!$B$5="",0,Inställningar!$B$5)</f>
        <v>850</v>
      </c>
      <c r="AA80" s="10">
        <f t="shared" si="14"/>
        <v>0</v>
      </c>
      <c r="AB80" s="4"/>
      <c r="AC80" s="13">
        <f>IF(Inställningar!$B$6="",0,Inställningar!$B$6)</f>
        <v>0.15</v>
      </c>
      <c r="AD80" s="10">
        <f t="shared" si="15"/>
        <v>0</v>
      </c>
      <c r="AE80" s="12"/>
    </row>
    <row r="81" spans="1:3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12"/>
      <c r="R81" s="12"/>
      <c r="S81" s="12"/>
      <c r="T81" s="12"/>
      <c r="U81" s="12"/>
      <c r="V81" s="18"/>
      <c r="W81" s="10">
        <f t="shared" si="12"/>
        <v>0</v>
      </c>
      <c r="X81" s="11"/>
      <c r="Y81" s="11">
        <f t="shared" si="13"/>
        <v>0</v>
      </c>
      <c r="Z81" s="10">
        <f>IF(Inställningar!$B$5="",0,Inställningar!$B$5)</f>
        <v>850</v>
      </c>
      <c r="AA81" s="10">
        <f t="shared" si="14"/>
        <v>0</v>
      </c>
      <c r="AB81" s="4"/>
      <c r="AC81" s="13">
        <f>IF(Inställningar!$B$6="",0,Inställningar!$B$6)</f>
        <v>0.15</v>
      </c>
      <c r="AD81" s="10">
        <f t="shared" si="15"/>
        <v>0</v>
      </c>
      <c r="AE81" s="12"/>
    </row>
    <row r="82" spans="1:3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12"/>
      <c r="R82" s="12"/>
      <c r="S82" s="12"/>
      <c r="T82" s="12"/>
      <c r="U82" s="12"/>
      <c r="V82" s="18"/>
      <c r="W82" s="10">
        <f t="shared" si="12"/>
        <v>0</v>
      </c>
      <c r="X82" s="11"/>
      <c r="Y82" s="11">
        <f t="shared" si="13"/>
        <v>0</v>
      </c>
      <c r="Z82" s="10">
        <f>IF(Inställningar!$B$5="",0,Inställningar!$B$5)</f>
        <v>850</v>
      </c>
      <c r="AA82" s="10">
        <f t="shared" si="14"/>
        <v>0</v>
      </c>
      <c r="AB82" s="4"/>
      <c r="AC82" s="13">
        <f>IF(Inställningar!$B$6="",0,Inställningar!$B$6)</f>
        <v>0.15</v>
      </c>
      <c r="AD82" s="10">
        <f t="shared" si="15"/>
        <v>0</v>
      </c>
      <c r="AE82" s="12"/>
    </row>
    <row r="83" spans="1:3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12"/>
      <c r="R83" s="12"/>
      <c r="S83" s="12"/>
      <c r="T83" s="12"/>
      <c r="U83" s="12"/>
      <c r="V83" s="18"/>
      <c r="W83" s="10">
        <f t="shared" si="12"/>
        <v>0</v>
      </c>
      <c r="X83" s="11"/>
      <c r="Y83" s="11">
        <f t="shared" si="13"/>
        <v>0</v>
      </c>
      <c r="Z83" s="10">
        <f>IF(Inställningar!$B$5="",0,Inställningar!$B$5)</f>
        <v>850</v>
      </c>
      <c r="AA83" s="10">
        <f t="shared" si="14"/>
        <v>0</v>
      </c>
      <c r="AB83" s="4"/>
      <c r="AC83" s="13">
        <f>IF(Inställningar!$B$6="",0,Inställningar!$B$6)</f>
        <v>0.15</v>
      </c>
      <c r="AD83" s="10">
        <f t="shared" si="15"/>
        <v>0</v>
      </c>
      <c r="AE83" s="12"/>
    </row>
    <row r="84" spans="1:3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12"/>
      <c r="R84" s="12"/>
      <c r="S84" s="12"/>
      <c r="T84" s="12"/>
      <c r="U84" s="12"/>
      <c r="V84" s="18"/>
      <c r="W84" s="10">
        <f t="shared" si="12"/>
        <v>0</v>
      </c>
      <c r="X84" s="11"/>
      <c r="Y84" s="11">
        <f t="shared" si="13"/>
        <v>0</v>
      </c>
      <c r="Z84" s="10">
        <f>IF(Inställningar!$B$5="",0,Inställningar!$B$5)</f>
        <v>850</v>
      </c>
      <c r="AA84" s="10">
        <f t="shared" si="14"/>
        <v>0</v>
      </c>
      <c r="AB84" s="4"/>
      <c r="AC84" s="13">
        <f>IF(Inställningar!$B$6="",0,Inställningar!$B$6)</f>
        <v>0.15</v>
      </c>
      <c r="AD84" s="10">
        <f t="shared" si="15"/>
        <v>0</v>
      </c>
      <c r="AE84" s="12"/>
    </row>
    <row r="85" spans="1:3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12"/>
      <c r="R85" s="12"/>
      <c r="S85" s="12"/>
      <c r="T85" s="12"/>
      <c r="U85" s="12"/>
      <c r="V85" s="18"/>
      <c r="W85" s="10">
        <f t="shared" si="12"/>
        <v>0</v>
      </c>
      <c r="X85" s="11"/>
      <c r="Y85" s="11">
        <f t="shared" si="13"/>
        <v>0</v>
      </c>
      <c r="Z85" s="10">
        <f>IF(Inställningar!$B$5="",0,Inställningar!$B$5)</f>
        <v>850</v>
      </c>
      <c r="AA85" s="10">
        <f t="shared" si="14"/>
        <v>0</v>
      </c>
      <c r="AB85" s="4"/>
      <c r="AC85" s="13">
        <f>IF(Inställningar!$B$6="",0,Inställningar!$B$6)</f>
        <v>0.15</v>
      </c>
      <c r="AD85" s="10">
        <f t="shared" si="15"/>
        <v>0</v>
      </c>
      <c r="AE85" s="12"/>
    </row>
    <row r="86" spans="1:3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12"/>
      <c r="R86" s="12"/>
      <c r="S86" s="12"/>
      <c r="T86" s="12"/>
      <c r="U86" s="12"/>
      <c r="V86" s="18"/>
      <c r="W86" s="10">
        <f t="shared" si="12"/>
        <v>0</v>
      </c>
      <c r="X86" s="11"/>
      <c r="Y86" s="11">
        <f t="shared" si="13"/>
        <v>0</v>
      </c>
      <c r="Z86" s="10">
        <f>IF(Inställningar!$B$5="",0,Inställningar!$B$5)</f>
        <v>850</v>
      </c>
      <c r="AA86" s="10">
        <f t="shared" si="14"/>
        <v>0</v>
      </c>
      <c r="AB86" s="4"/>
      <c r="AC86" s="13">
        <f>IF(Inställningar!$B$6="",0,Inställningar!$B$6)</f>
        <v>0.15</v>
      </c>
      <c r="AD86" s="10">
        <f t="shared" si="15"/>
        <v>0</v>
      </c>
      <c r="AE86" s="12"/>
    </row>
    <row r="87" spans="1:3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12"/>
      <c r="R87" s="12"/>
      <c r="S87" s="12"/>
      <c r="T87" s="12"/>
      <c r="U87" s="12"/>
      <c r="V87" s="18"/>
      <c r="W87" s="10">
        <f t="shared" si="12"/>
        <v>0</v>
      </c>
      <c r="X87" s="11"/>
      <c r="Y87" s="11">
        <f t="shared" si="13"/>
        <v>0</v>
      </c>
      <c r="Z87" s="10">
        <f>IF(Inställningar!$B$5="",0,Inställningar!$B$5)</f>
        <v>850</v>
      </c>
      <c r="AA87" s="10">
        <f t="shared" si="14"/>
        <v>0</v>
      </c>
      <c r="AB87" s="4"/>
      <c r="AC87" s="13">
        <f>IF(Inställningar!$B$6="",0,Inställningar!$B$6)</f>
        <v>0.15</v>
      </c>
      <c r="AD87" s="10">
        <f t="shared" si="15"/>
        <v>0</v>
      </c>
      <c r="AE87" s="12"/>
    </row>
    <row r="88" spans="1:3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2"/>
      <c r="R88" s="12"/>
      <c r="S88" s="12"/>
      <c r="T88" s="12"/>
      <c r="U88" s="12"/>
      <c r="V88" s="18"/>
      <c r="W88" s="10">
        <f t="shared" si="12"/>
        <v>0</v>
      </c>
      <c r="X88" s="11"/>
      <c r="Y88" s="11">
        <f t="shared" si="13"/>
        <v>0</v>
      </c>
      <c r="Z88" s="10">
        <f>IF(Inställningar!$B$5="",0,Inställningar!$B$5)</f>
        <v>850</v>
      </c>
      <c r="AA88" s="10">
        <f t="shared" si="14"/>
        <v>0</v>
      </c>
      <c r="AB88" s="4"/>
      <c r="AC88" s="13">
        <f>IF(Inställningar!$B$6="",0,Inställningar!$B$6)</f>
        <v>0.15</v>
      </c>
      <c r="AD88" s="10">
        <f t="shared" si="15"/>
        <v>0</v>
      </c>
      <c r="AE88" s="12"/>
    </row>
    <row r="89" spans="1:3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2"/>
      <c r="R89" s="12"/>
      <c r="S89" s="12"/>
      <c r="T89" s="12"/>
      <c r="U89" s="12"/>
      <c r="V89" s="18"/>
      <c r="W89" s="10">
        <f t="shared" si="12"/>
        <v>0</v>
      </c>
      <c r="X89" s="11"/>
      <c r="Y89" s="11">
        <f t="shared" si="13"/>
        <v>0</v>
      </c>
      <c r="Z89" s="10">
        <f>IF(Inställningar!$B$5="",0,Inställningar!$B$5)</f>
        <v>850</v>
      </c>
      <c r="AA89" s="10">
        <f t="shared" si="14"/>
        <v>0</v>
      </c>
      <c r="AB89" s="4"/>
      <c r="AC89" s="13">
        <f>IF(Inställningar!$B$6="",0,Inställningar!$B$6)</f>
        <v>0.15</v>
      </c>
      <c r="AD89" s="10">
        <f t="shared" si="15"/>
        <v>0</v>
      </c>
      <c r="AE89" s="12"/>
    </row>
    <row r="90" spans="1:3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12"/>
      <c r="R90" s="12"/>
      <c r="S90" s="12"/>
      <c r="T90" s="12"/>
      <c r="U90" s="12"/>
      <c r="V90" s="18"/>
      <c r="W90" s="10">
        <f t="shared" si="12"/>
        <v>0</v>
      </c>
      <c r="X90" s="11"/>
      <c r="Y90" s="11">
        <f t="shared" si="13"/>
        <v>0</v>
      </c>
      <c r="Z90" s="10">
        <f>IF(Inställningar!$B$5="",0,Inställningar!$B$5)</f>
        <v>850</v>
      </c>
      <c r="AA90" s="10">
        <f t="shared" si="14"/>
        <v>0</v>
      </c>
      <c r="AB90" s="4"/>
      <c r="AC90" s="13">
        <f>IF(Inställningar!$B$6="",0,Inställningar!$B$6)</f>
        <v>0.15</v>
      </c>
      <c r="AD90" s="10">
        <f t="shared" si="15"/>
        <v>0</v>
      </c>
      <c r="AE90" s="12"/>
    </row>
    <row r="91" spans="1:3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12"/>
      <c r="R91" s="12"/>
      <c r="S91" s="12"/>
      <c r="T91" s="12"/>
      <c r="U91" s="12"/>
      <c r="V91" s="18"/>
      <c r="W91" s="10">
        <f t="shared" si="12"/>
        <v>0</v>
      </c>
      <c r="X91" s="11"/>
      <c r="Y91" s="11">
        <f t="shared" si="13"/>
        <v>0</v>
      </c>
      <c r="Z91" s="10">
        <f>IF(Inställningar!$B$5="",0,Inställningar!$B$5)</f>
        <v>850</v>
      </c>
      <c r="AA91" s="10">
        <f t="shared" si="14"/>
        <v>0</v>
      </c>
      <c r="AB91" s="4"/>
      <c r="AC91" s="13">
        <f>IF(Inställningar!$B$6="",0,Inställningar!$B$6)</f>
        <v>0.15</v>
      </c>
      <c r="AD91" s="10">
        <f t="shared" si="15"/>
        <v>0</v>
      </c>
      <c r="AE91" s="12"/>
    </row>
    <row r="92" spans="1:3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12"/>
      <c r="R92" s="12"/>
      <c r="S92" s="12"/>
      <c r="T92" s="12"/>
      <c r="U92" s="12"/>
      <c r="V92" s="18"/>
      <c r="W92" s="10">
        <f t="shared" si="12"/>
        <v>0</v>
      </c>
      <c r="X92" s="11"/>
      <c r="Y92" s="11">
        <f t="shared" si="13"/>
        <v>0</v>
      </c>
      <c r="Z92" s="10">
        <f>IF(Inställningar!$B$5="",0,Inställningar!$B$5)</f>
        <v>850</v>
      </c>
      <c r="AA92" s="10">
        <f t="shared" si="14"/>
        <v>0</v>
      </c>
      <c r="AB92" s="4"/>
      <c r="AC92" s="13">
        <f>IF(Inställningar!$B$6="",0,Inställningar!$B$6)</f>
        <v>0.15</v>
      </c>
      <c r="AD92" s="10">
        <f t="shared" si="15"/>
        <v>0</v>
      </c>
      <c r="AE92" s="12"/>
    </row>
    <row r="93" spans="1:3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12"/>
      <c r="R93" s="12"/>
      <c r="S93" s="12"/>
      <c r="T93" s="12"/>
      <c r="U93" s="12"/>
      <c r="V93" s="18"/>
      <c r="W93" s="10">
        <f t="shared" si="12"/>
        <v>0</v>
      </c>
      <c r="X93" s="11"/>
      <c r="Y93" s="11">
        <f t="shared" si="13"/>
        <v>0</v>
      </c>
      <c r="Z93" s="10">
        <f>IF(Inställningar!$B$5="",0,Inställningar!$B$5)</f>
        <v>850</v>
      </c>
      <c r="AA93" s="10">
        <f t="shared" si="14"/>
        <v>0</v>
      </c>
      <c r="AB93" s="4"/>
      <c r="AC93" s="13">
        <f>IF(Inställningar!$B$6="",0,Inställningar!$B$6)</f>
        <v>0.15</v>
      </c>
      <c r="AD93" s="10">
        <f t="shared" si="15"/>
        <v>0</v>
      </c>
      <c r="AE93" s="12"/>
    </row>
    <row r="94" spans="1:3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12"/>
      <c r="R94" s="12"/>
      <c r="S94" s="12"/>
      <c r="T94" s="12"/>
      <c r="U94" s="12"/>
      <c r="V94" s="18"/>
      <c r="W94" s="10">
        <f t="shared" si="12"/>
        <v>0</v>
      </c>
      <c r="X94" s="11"/>
      <c r="Y94" s="11">
        <f t="shared" si="13"/>
        <v>0</v>
      </c>
      <c r="Z94" s="10">
        <f>IF(Inställningar!$B$5="",0,Inställningar!$B$5)</f>
        <v>850</v>
      </c>
      <c r="AA94" s="10">
        <f t="shared" si="14"/>
        <v>0</v>
      </c>
      <c r="AB94" s="4"/>
      <c r="AC94" s="13">
        <f>IF(Inställningar!$B$6="",0,Inställningar!$B$6)</f>
        <v>0.15</v>
      </c>
      <c r="AD94" s="10">
        <f t="shared" si="15"/>
        <v>0</v>
      </c>
      <c r="AE94" s="12"/>
    </row>
    <row r="95" spans="1:3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12"/>
      <c r="R95" s="12"/>
      <c r="S95" s="12"/>
      <c r="T95" s="12"/>
      <c r="U95" s="12"/>
      <c r="V95" s="18"/>
      <c r="W95" s="10">
        <f t="shared" si="12"/>
        <v>0</v>
      </c>
      <c r="X95" s="11"/>
      <c r="Y95" s="11">
        <f t="shared" si="13"/>
        <v>0</v>
      </c>
      <c r="Z95" s="10">
        <f>IF(Inställningar!$B$5="",0,Inställningar!$B$5)</f>
        <v>850</v>
      </c>
      <c r="AA95" s="10">
        <f t="shared" si="14"/>
        <v>0</v>
      </c>
      <c r="AB95" s="4"/>
      <c r="AC95" s="13">
        <f>IF(Inställningar!$B$6="",0,Inställningar!$B$6)</f>
        <v>0.15</v>
      </c>
      <c r="AD95" s="10">
        <f t="shared" si="15"/>
        <v>0</v>
      </c>
      <c r="AE95" s="12"/>
    </row>
    <row r="96" spans="1:3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12"/>
      <c r="R96" s="12"/>
      <c r="S96" s="12"/>
      <c r="T96" s="12"/>
      <c r="U96" s="12"/>
      <c r="V96" s="18"/>
      <c r="W96" s="10">
        <f t="shared" si="12"/>
        <v>0</v>
      </c>
      <c r="X96" s="11"/>
      <c r="Y96" s="11">
        <f t="shared" si="13"/>
        <v>0</v>
      </c>
      <c r="Z96" s="10">
        <f>IF(Inställningar!$B$5="",0,Inställningar!$B$5)</f>
        <v>850</v>
      </c>
      <c r="AA96" s="10">
        <f t="shared" si="14"/>
        <v>0</v>
      </c>
      <c r="AB96" s="4"/>
      <c r="AC96" s="13">
        <f>IF(Inställningar!$B$6="",0,Inställningar!$B$6)</f>
        <v>0.15</v>
      </c>
      <c r="AD96" s="10">
        <f t="shared" si="15"/>
        <v>0</v>
      </c>
      <c r="AE96" s="12"/>
    </row>
    <row r="97" spans="1:3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2"/>
      <c r="R97" s="12"/>
      <c r="S97" s="12"/>
      <c r="T97" s="12"/>
      <c r="U97" s="12"/>
      <c r="V97" s="18"/>
      <c r="W97" s="10">
        <f t="shared" si="12"/>
        <v>0</v>
      </c>
      <c r="X97" s="11"/>
      <c r="Y97" s="11">
        <f t="shared" si="13"/>
        <v>0</v>
      </c>
      <c r="Z97" s="10">
        <f>IF(Inställningar!$B$5="",0,Inställningar!$B$5)</f>
        <v>850</v>
      </c>
      <c r="AA97" s="10">
        <f t="shared" si="14"/>
        <v>0</v>
      </c>
      <c r="AB97" s="4"/>
      <c r="AC97" s="13">
        <f>IF(Inställningar!$B$6="",0,Inställningar!$B$6)</f>
        <v>0.15</v>
      </c>
      <c r="AD97" s="10">
        <f t="shared" si="15"/>
        <v>0</v>
      </c>
      <c r="AE97" s="12"/>
    </row>
    <row r="98" spans="1:3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12"/>
      <c r="R98" s="12"/>
      <c r="S98" s="12"/>
      <c r="T98" s="12"/>
      <c r="U98" s="12"/>
      <c r="V98" s="18"/>
      <c r="W98" s="10">
        <f t="shared" si="12"/>
        <v>0</v>
      </c>
      <c r="X98" s="11"/>
      <c r="Y98" s="11">
        <f t="shared" si="13"/>
        <v>0</v>
      </c>
      <c r="Z98" s="10">
        <f>IF(Inställningar!$B$5="",0,Inställningar!$B$5)</f>
        <v>850</v>
      </c>
      <c r="AA98" s="10">
        <f t="shared" si="14"/>
        <v>0</v>
      </c>
      <c r="AB98" s="4"/>
      <c r="AC98" s="13">
        <f>IF(Inställningar!$B$6="",0,Inställningar!$B$6)</f>
        <v>0.15</v>
      </c>
      <c r="AD98" s="10">
        <f t="shared" si="15"/>
        <v>0</v>
      </c>
      <c r="AE98" s="12"/>
    </row>
    <row r="99" spans="1:3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2"/>
      <c r="R99" s="12"/>
      <c r="S99" s="12"/>
      <c r="T99" s="12"/>
      <c r="U99" s="12"/>
      <c r="V99" s="18"/>
      <c r="W99" s="10">
        <f t="shared" si="12"/>
        <v>0</v>
      </c>
      <c r="X99" s="11"/>
      <c r="Y99" s="11">
        <f t="shared" si="13"/>
        <v>0</v>
      </c>
      <c r="Z99" s="10">
        <f>IF(Inställningar!$B$5="",0,Inställningar!$B$5)</f>
        <v>850</v>
      </c>
      <c r="AA99" s="10">
        <f t="shared" si="14"/>
        <v>0</v>
      </c>
      <c r="AB99" s="4"/>
      <c r="AC99" s="13">
        <f>IF(Inställningar!$B$6="",0,Inställningar!$B$6)</f>
        <v>0.15</v>
      </c>
      <c r="AD99" s="10">
        <f t="shared" si="15"/>
        <v>0</v>
      </c>
      <c r="AE99" s="12"/>
    </row>
    <row r="100" spans="1:3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2"/>
      <c r="R100" s="12"/>
      <c r="S100" s="12"/>
      <c r="T100" s="12"/>
      <c r="U100" s="12"/>
      <c r="V100" s="18"/>
      <c r="W100" s="10">
        <f t="shared" si="12"/>
        <v>0</v>
      </c>
      <c r="X100" s="11"/>
      <c r="Y100" s="11">
        <f t="shared" si="13"/>
        <v>0</v>
      </c>
      <c r="Z100" s="10">
        <f>IF(Inställningar!$B$5="",0,Inställningar!$B$5)</f>
        <v>850</v>
      </c>
      <c r="AA100" s="10">
        <f t="shared" si="14"/>
        <v>0</v>
      </c>
      <c r="AB100" s="4"/>
      <c r="AC100" s="13">
        <f>IF(Inställningar!$B$6="",0,Inställningar!$B$6)</f>
        <v>0.15</v>
      </c>
      <c r="AD100" s="10">
        <f t="shared" si="15"/>
        <v>0</v>
      </c>
      <c r="AE100" s="12"/>
    </row>
    <row r="101" spans="1:3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2"/>
      <c r="R101" s="12"/>
      <c r="S101" s="12"/>
      <c r="T101" s="12"/>
      <c r="U101" s="12"/>
      <c r="V101" s="18"/>
      <c r="W101" s="10">
        <f t="shared" si="12"/>
        <v>0</v>
      </c>
      <c r="X101" s="11"/>
      <c r="Y101" s="11">
        <f t="shared" si="13"/>
        <v>0</v>
      </c>
      <c r="Z101" s="10">
        <f>IF(Inställningar!$B$5="",0,Inställningar!$B$5)</f>
        <v>850</v>
      </c>
      <c r="AA101" s="10">
        <f t="shared" si="14"/>
        <v>0</v>
      </c>
      <c r="AB101" s="4"/>
      <c r="AC101" s="13">
        <f>IF(Inställningar!$B$6="",0,Inställningar!$B$6)</f>
        <v>0.15</v>
      </c>
      <c r="AD101" s="10">
        <f t="shared" si="15"/>
        <v>0</v>
      </c>
      <c r="AE101" s="12"/>
    </row>
    <row r="102" spans="1:3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2"/>
      <c r="R102" s="12"/>
      <c r="S102" s="12"/>
      <c r="T102" s="12"/>
      <c r="U102" s="12"/>
      <c r="V102" s="18"/>
      <c r="W102" s="10">
        <f t="shared" si="12"/>
        <v>0</v>
      </c>
      <c r="X102" s="11"/>
      <c r="Y102" s="11">
        <f t="shared" si="13"/>
        <v>0</v>
      </c>
      <c r="Z102" s="10">
        <f>IF(Inställningar!$B$5="",0,Inställningar!$B$5)</f>
        <v>850</v>
      </c>
      <c r="AA102" s="10">
        <f t="shared" si="14"/>
        <v>0</v>
      </c>
      <c r="AB102" s="4"/>
      <c r="AC102" s="13">
        <f>IF(Inställningar!$B$6="",0,Inställningar!$B$6)</f>
        <v>0.15</v>
      </c>
      <c r="AD102" s="10">
        <f t="shared" si="15"/>
        <v>0</v>
      </c>
      <c r="AE102" s="12"/>
    </row>
    <row r="103" spans="1:3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2"/>
      <c r="R103" s="12"/>
      <c r="S103" s="12"/>
      <c r="T103" s="12"/>
      <c r="U103" s="12"/>
      <c r="V103" s="18"/>
      <c r="W103" s="10">
        <f t="shared" ref="W103:W134" si="16">IF(OR(T103="",V103=""),0,T103*V103)</f>
        <v>0</v>
      </c>
      <c r="X103" s="11"/>
      <c r="Y103" s="11">
        <f t="shared" ref="Y103:Y134" si="17">IF(OR(T103="",X103=""),0,T103*X103)</f>
        <v>0</v>
      </c>
      <c r="Z103" s="10">
        <f>IF(Inställningar!$B$5="",0,Inställningar!$B$5)</f>
        <v>850</v>
      </c>
      <c r="AA103" s="10">
        <f t="shared" ref="AA103:AA134" si="18">Y103*Z103</f>
        <v>0</v>
      </c>
      <c r="AB103" s="4"/>
      <c r="AC103" s="13">
        <f>IF(Inställningar!$B$6="",0,Inställningar!$B$6)</f>
        <v>0.15</v>
      </c>
      <c r="AD103" s="10">
        <f t="shared" ref="AD103:AD134" si="19">ROUND((W103+AA103+IF(AB103="",0,AB103))*(1+AC103),0)</f>
        <v>0</v>
      </c>
      <c r="AE103" s="12"/>
    </row>
    <row r="104" spans="1:3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2"/>
      <c r="R104" s="12"/>
      <c r="S104" s="12"/>
      <c r="T104" s="12"/>
      <c r="U104" s="12"/>
      <c r="V104" s="18"/>
      <c r="W104" s="10">
        <f t="shared" si="16"/>
        <v>0</v>
      </c>
      <c r="X104" s="11"/>
      <c r="Y104" s="11">
        <f t="shared" si="17"/>
        <v>0</v>
      </c>
      <c r="Z104" s="10">
        <f>IF(Inställningar!$B$5="",0,Inställningar!$B$5)</f>
        <v>850</v>
      </c>
      <c r="AA104" s="10">
        <f t="shared" si="18"/>
        <v>0</v>
      </c>
      <c r="AB104" s="4"/>
      <c r="AC104" s="13">
        <f>IF(Inställningar!$B$6="",0,Inställningar!$B$6)</f>
        <v>0.15</v>
      </c>
      <c r="AD104" s="10">
        <f t="shared" si="19"/>
        <v>0</v>
      </c>
      <c r="AE104" s="12"/>
    </row>
    <row r="105" spans="1:3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2"/>
      <c r="R105" s="12"/>
      <c r="S105" s="12"/>
      <c r="T105" s="12"/>
      <c r="U105" s="12"/>
      <c r="V105" s="18"/>
      <c r="W105" s="10">
        <f t="shared" si="16"/>
        <v>0</v>
      </c>
      <c r="X105" s="11"/>
      <c r="Y105" s="11">
        <f t="shared" si="17"/>
        <v>0</v>
      </c>
      <c r="Z105" s="10">
        <f>IF(Inställningar!$B$5="",0,Inställningar!$B$5)</f>
        <v>850</v>
      </c>
      <c r="AA105" s="10">
        <f t="shared" si="18"/>
        <v>0</v>
      </c>
      <c r="AB105" s="4"/>
      <c r="AC105" s="13">
        <f>IF(Inställningar!$B$6="",0,Inställningar!$B$6)</f>
        <v>0.15</v>
      </c>
      <c r="AD105" s="10">
        <f t="shared" si="19"/>
        <v>0</v>
      </c>
      <c r="AE105" s="12"/>
    </row>
    <row r="106" spans="1:3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2"/>
      <c r="R106" s="12"/>
      <c r="S106" s="12"/>
      <c r="T106" s="12"/>
      <c r="U106" s="12"/>
      <c r="V106" s="18"/>
      <c r="W106" s="10">
        <f t="shared" si="16"/>
        <v>0</v>
      </c>
      <c r="X106" s="11"/>
      <c r="Y106" s="11">
        <f t="shared" si="17"/>
        <v>0</v>
      </c>
      <c r="Z106" s="10">
        <f>IF(Inställningar!$B$5="",0,Inställningar!$B$5)</f>
        <v>850</v>
      </c>
      <c r="AA106" s="10">
        <f t="shared" si="18"/>
        <v>0</v>
      </c>
      <c r="AB106" s="4"/>
      <c r="AC106" s="13">
        <f>IF(Inställningar!$B$6="",0,Inställningar!$B$6)</f>
        <v>0.15</v>
      </c>
      <c r="AD106" s="10">
        <f t="shared" si="19"/>
        <v>0</v>
      </c>
      <c r="AE106" s="12"/>
    </row>
    <row r="107" spans="1:3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2"/>
      <c r="R107" s="12"/>
      <c r="S107" s="12"/>
      <c r="T107" s="12"/>
      <c r="U107" s="12"/>
      <c r="V107" s="18"/>
      <c r="W107" s="10">
        <f t="shared" si="16"/>
        <v>0</v>
      </c>
      <c r="X107" s="11"/>
      <c r="Y107" s="11">
        <f t="shared" si="17"/>
        <v>0</v>
      </c>
      <c r="Z107" s="10">
        <f>IF(Inställningar!$B$5="",0,Inställningar!$B$5)</f>
        <v>850</v>
      </c>
      <c r="AA107" s="10">
        <f t="shared" si="18"/>
        <v>0</v>
      </c>
      <c r="AB107" s="4"/>
      <c r="AC107" s="13">
        <f>IF(Inställningar!$B$6="",0,Inställningar!$B$6)</f>
        <v>0.15</v>
      </c>
      <c r="AD107" s="10">
        <f t="shared" si="19"/>
        <v>0</v>
      </c>
      <c r="AE107" s="12"/>
    </row>
    <row r="108" spans="1:3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2"/>
      <c r="R108" s="12"/>
      <c r="S108" s="12"/>
      <c r="T108" s="12"/>
      <c r="U108" s="12"/>
      <c r="V108" s="18"/>
      <c r="W108" s="10">
        <f t="shared" si="16"/>
        <v>0</v>
      </c>
      <c r="X108" s="11"/>
      <c r="Y108" s="11">
        <f t="shared" si="17"/>
        <v>0</v>
      </c>
      <c r="Z108" s="10">
        <f>IF(Inställningar!$B$5="",0,Inställningar!$B$5)</f>
        <v>850</v>
      </c>
      <c r="AA108" s="10">
        <f t="shared" si="18"/>
        <v>0</v>
      </c>
      <c r="AB108" s="4"/>
      <c r="AC108" s="13">
        <f>IF(Inställningar!$B$6="",0,Inställningar!$B$6)</f>
        <v>0.15</v>
      </c>
      <c r="AD108" s="10">
        <f t="shared" si="19"/>
        <v>0</v>
      </c>
      <c r="AE108" s="12"/>
    </row>
    <row r="109" spans="1:3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2"/>
      <c r="R109" s="12"/>
      <c r="S109" s="12"/>
      <c r="T109" s="12"/>
      <c r="U109" s="12"/>
      <c r="V109" s="18"/>
      <c r="W109" s="10">
        <f t="shared" si="16"/>
        <v>0</v>
      </c>
      <c r="X109" s="11"/>
      <c r="Y109" s="11">
        <f t="shared" si="17"/>
        <v>0</v>
      </c>
      <c r="Z109" s="10">
        <f>IF(Inställningar!$B$5="",0,Inställningar!$B$5)</f>
        <v>850</v>
      </c>
      <c r="AA109" s="10">
        <f t="shared" si="18"/>
        <v>0</v>
      </c>
      <c r="AB109" s="4"/>
      <c r="AC109" s="13">
        <f>IF(Inställningar!$B$6="",0,Inställningar!$B$6)</f>
        <v>0.15</v>
      </c>
      <c r="AD109" s="10">
        <f t="shared" si="19"/>
        <v>0</v>
      </c>
      <c r="AE109" s="12"/>
    </row>
    <row r="110" spans="1:3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2"/>
      <c r="R110" s="12"/>
      <c r="S110" s="12"/>
      <c r="T110" s="12"/>
      <c r="U110" s="12"/>
      <c r="V110" s="18"/>
      <c r="W110" s="10">
        <f t="shared" si="16"/>
        <v>0</v>
      </c>
      <c r="X110" s="11"/>
      <c r="Y110" s="11">
        <f t="shared" si="17"/>
        <v>0</v>
      </c>
      <c r="Z110" s="10">
        <f>IF(Inställningar!$B$5="",0,Inställningar!$B$5)</f>
        <v>850</v>
      </c>
      <c r="AA110" s="10">
        <f t="shared" si="18"/>
        <v>0</v>
      </c>
      <c r="AB110" s="4"/>
      <c r="AC110" s="13">
        <f>IF(Inställningar!$B$6="",0,Inställningar!$B$6)</f>
        <v>0.15</v>
      </c>
      <c r="AD110" s="10">
        <f t="shared" si="19"/>
        <v>0</v>
      </c>
      <c r="AE110" s="12"/>
    </row>
    <row r="111" spans="1:3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2"/>
      <c r="R111" s="12"/>
      <c r="S111" s="12"/>
      <c r="T111" s="12"/>
      <c r="U111" s="12"/>
      <c r="V111" s="18"/>
      <c r="W111" s="10">
        <f t="shared" si="16"/>
        <v>0</v>
      </c>
      <c r="X111" s="11"/>
      <c r="Y111" s="11">
        <f t="shared" si="17"/>
        <v>0</v>
      </c>
      <c r="Z111" s="10">
        <f>IF(Inställningar!$B$5="",0,Inställningar!$B$5)</f>
        <v>850</v>
      </c>
      <c r="AA111" s="10">
        <f t="shared" si="18"/>
        <v>0</v>
      </c>
      <c r="AB111" s="4"/>
      <c r="AC111" s="13">
        <f>IF(Inställningar!$B$6="",0,Inställningar!$B$6)</f>
        <v>0.15</v>
      </c>
      <c r="AD111" s="10">
        <f t="shared" si="19"/>
        <v>0</v>
      </c>
      <c r="AE111" s="12"/>
    </row>
    <row r="112" spans="1:3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2"/>
      <c r="R112" s="12"/>
      <c r="S112" s="12"/>
      <c r="T112" s="12"/>
      <c r="U112" s="12"/>
      <c r="V112" s="18"/>
      <c r="W112" s="10">
        <f t="shared" si="16"/>
        <v>0</v>
      </c>
      <c r="X112" s="11"/>
      <c r="Y112" s="11">
        <f t="shared" si="17"/>
        <v>0</v>
      </c>
      <c r="Z112" s="10">
        <f>IF(Inställningar!$B$5="",0,Inställningar!$B$5)</f>
        <v>850</v>
      </c>
      <c r="AA112" s="10">
        <f t="shared" si="18"/>
        <v>0</v>
      </c>
      <c r="AB112" s="4"/>
      <c r="AC112" s="13">
        <f>IF(Inställningar!$B$6="",0,Inställningar!$B$6)</f>
        <v>0.15</v>
      </c>
      <c r="AD112" s="10">
        <f t="shared" si="19"/>
        <v>0</v>
      </c>
      <c r="AE112" s="12"/>
    </row>
    <row r="113" spans="1:3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2"/>
      <c r="R113" s="12"/>
      <c r="S113" s="12"/>
      <c r="T113" s="12"/>
      <c r="U113" s="12"/>
      <c r="V113" s="18"/>
      <c r="W113" s="10">
        <f t="shared" si="16"/>
        <v>0</v>
      </c>
      <c r="X113" s="11"/>
      <c r="Y113" s="11">
        <f t="shared" si="17"/>
        <v>0</v>
      </c>
      <c r="Z113" s="10">
        <f>IF(Inställningar!$B$5="",0,Inställningar!$B$5)</f>
        <v>850</v>
      </c>
      <c r="AA113" s="10">
        <f t="shared" si="18"/>
        <v>0</v>
      </c>
      <c r="AB113" s="4"/>
      <c r="AC113" s="13">
        <f>IF(Inställningar!$B$6="",0,Inställningar!$B$6)</f>
        <v>0.15</v>
      </c>
      <c r="AD113" s="10">
        <f t="shared" si="19"/>
        <v>0</v>
      </c>
      <c r="AE113" s="12"/>
    </row>
    <row r="114" spans="1:3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2"/>
      <c r="R114" s="12"/>
      <c r="S114" s="12"/>
      <c r="T114" s="12"/>
      <c r="U114" s="12"/>
      <c r="V114" s="18"/>
      <c r="W114" s="10">
        <f t="shared" si="16"/>
        <v>0</v>
      </c>
      <c r="X114" s="11"/>
      <c r="Y114" s="11">
        <f t="shared" si="17"/>
        <v>0</v>
      </c>
      <c r="Z114" s="10">
        <f>IF(Inställningar!$B$5="",0,Inställningar!$B$5)</f>
        <v>850</v>
      </c>
      <c r="AA114" s="10">
        <f t="shared" si="18"/>
        <v>0</v>
      </c>
      <c r="AB114" s="4"/>
      <c r="AC114" s="13">
        <f>IF(Inställningar!$B$6="",0,Inställningar!$B$6)</f>
        <v>0.15</v>
      </c>
      <c r="AD114" s="10">
        <f t="shared" si="19"/>
        <v>0</v>
      </c>
      <c r="AE114" s="12"/>
    </row>
    <row r="115" spans="1:3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2"/>
      <c r="R115" s="12"/>
      <c r="S115" s="12"/>
      <c r="T115" s="12"/>
      <c r="U115" s="12"/>
      <c r="V115" s="18"/>
      <c r="W115" s="10">
        <f t="shared" si="16"/>
        <v>0</v>
      </c>
      <c r="X115" s="11"/>
      <c r="Y115" s="11">
        <f t="shared" si="17"/>
        <v>0</v>
      </c>
      <c r="Z115" s="10">
        <f>IF(Inställningar!$B$5="",0,Inställningar!$B$5)</f>
        <v>850</v>
      </c>
      <c r="AA115" s="10">
        <f t="shared" si="18"/>
        <v>0</v>
      </c>
      <c r="AB115" s="4"/>
      <c r="AC115" s="13">
        <f>IF(Inställningar!$B$6="",0,Inställningar!$B$6)</f>
        <v>0.15</v>
      </c>
      <c r="AD115" s="10">
        <f t="shared" si="19"/>
        <v>0</v>
      </c>
      <c r="AE115" s="12"/>
    </row>
    <row r="116" spans="1:3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2"/>
      <c r="R116" s="12"/>
      <c r="S116" s="12"/>
      <c r="T116" s="12"/>
      <c r="U116" s="12"/>
      <c r="V116" s="18"/>
      <c r="W116" s="10">
        <f t="shared" si="16"/>
        <v>0</v>
      </c>
      <c r="X116" s="11"/>
      <c r="Y116" s="11">
        <f t="shared" si="17"/>
        <v>0</v>
      </c>
      <c r="Z116" s="10">
        <f>IF(Inställningar!$B$5="",0,Inställningar!$B$5)</f>
        <v>850</v>
      </c>
      <c r="AA116" s="10">
        <f t="shared" si="18"/>
        <v>0</v>
      </c>
      <c r="AB116" s="4"/>
      <c r="AC116" s="13">
        <f>IF(Inställningar!$B$6="",0,Inställningar!$B$6)</f>
        <v>0.15</v>
      </c>
      <c r="AD116" s="10">
        <f t="shared" si="19"/>
        <v>0</v>
      </c>
      <c r="AE116" s="12"/>
    </row>
    <row r="117" spans="1:3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2"/>
      <c r="R117" s="12"/>
      <c r="S117" s="12"/>
      <c r="T117" s="12"/>
      <c r="U117" s="12"/>
      <c r="V117" s="18"/>
      <c r="W117" s="10">
        <f t="shared" si="16"/>
        <v>0</v>
      </c>
      <c r="X117" s="11"/>
      <c r="Y117" s="11">
        <f t="shared" si="17"/>
        <v>0</v>
      </c>
      <c r="Z117" s="10">
        <f>IF(Inställningar!$B$5="",0,Inställningar!$B$5)</f>
        <v>850</v>
      </c>
      <c r="AA117" s="10">
        <f t="shared" si="18"/>
        <v>0</v>
      </c>
      <c r="AB117" s="4"/>
      <c r="AC117" s="13">
        <f>IF(Inställningar!$B$6="",0,Inställningar!$B$6)</f>
        <v>0.15</v>
      </c>
      <c r="AD117" s="10">
        <f t="shared" si="19"/>
        <v>0</v>
      </c>
      <c r="AE117" s="12"/>
    </row>
    <row r="118" spans="1:3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2"/>
      <c r="R118" s="12"/>
      <c r="S118" s="12"/>
      <c r="T118" s="12"/>
      <c r="U118" s="12"/>
      <c r="V118" s="18"/>
      <c r="W118" s="10">
        <f t="shared" si="16"/>
        <v>0</v>
      </c>
      <c r="X118" s="11"/>
      <c r="Y118" s="11">
        <f t="shared" si="17"/>
        <v>0</v>
      </c>
      <c r="Z118" s="10">
        <f>IF(Inställningar!$B$5="",0,Inställningar!$B$5)</f>
        <v>850</v>
      </c>
      <c r="AA118" s="10">
        <f t="shared" si="18"/>
        <v>0</v>
      </c>
      <c r="AB118" s="4"/>
      <c r="AC118" s="13">
        <f>IF(Inställningar!$B$6="",0,Inställningar!$B$6)</f>
        <v>0.15</v>
      </c>
      <c r="AD118" s="10">
        <f t="shared" si="19"/>
        <v>0</v>
      </c>
      <c r="AE118" s="12"/>
    </row>
    <row r="119" spans="1:3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2"/>
      <c r="R119" s="12"/>
      <c r="S119" s="12"/>
      <c r="T119" s="12"/>
      <c r="U119" s="12"/>
      <c r="V119" s="18"/>
      <c r="W119" s="10">
        <f t="shared" si="16"/>
        <v>0</v>
      </c>
      <c r="X119" s="11"/>
      <c r="Y119" s="11">
        <f t="shared" si="17"/>
        <v>0</v>
      </c>
      <c r="Z119" s="10">
        <f>IF(Inställningar!$B$5="",0,Inställningar!$B$5)</f>
        <v>850</v>
      </c>
      <c r="AA119" s="10">
        <f t="shared" si="18"/>
        <v>0</v>
      </c>
      <c r="AB119" s="4"/>
      <c r="AC119" s="13">
        <f>IF(Inställningar!$B$6="",0,Inställningar!$B$6)</f>
        <v>0.15</v>
      </c>
      <c r="AD119" s="10">
        <f t="shared" si="19"/>
        <v>0</v>
      </c>
      <c r="AE119" s="12"/>
    </row>
    <row r="120" spans="1:3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2"/>
      <c r="R120" s="12"/>
      <c r="S120" s="12"/>
      <c r="T120" s="12"/>
      <c r="U120" s="12"/>
      <c r="V120" s="18"/>
      <c r="W120" s="10">
        <f t="shared" si="16"/>
        <v>0</v>
      </c>
      <c r="X120" s="11"/>
      <c r="Y120" s="11">
        <f t="shared" si="17"/>
        <v>0</v>
      </c>
      <c r="Z120" s="10">
        <f>IF(Inställningar!$B$5="",0,Inställningar!$B$5)</f>
        <v>850</v>
      </c>
      <c r="AA120" s="10">
        <f t="shared" si="18"/>
        <v>0</v>
      </c>
      <c r="AB120" s="4"/>
      <c r="AC120" s="13">
        <f>IF(Inställningar!$B$6="",0,Inställningar!$B$6)</f>
        <v>0.15</v>
      </c>
      <c r="AD120" s="10">
        <f t="shared" si="19"/>
        <v>0</v>
      </c>
      <c r="AE120" s="12"/>
    </row>
    <row r="121" spans="1:3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2"/>
      <c r="R121" s="12"/>
      <c r="S121" s="12"/>
      <c r="T121" s="12"/>
      <c r="U121" s="12"/>
      <c r="V121" s="18"/>
      <c r="W121" s="10">
        <f t="shared" si="16"/>
        <v>0</v>
      </c>
      <c r="X121" s="11"/>
      <c r="Y121" s="11">
        <f t="shared" si="17"/>
        <v>0</v>
      </c>
      <c r="Z121" s="10">
        <f>IF(Inställningar!$B$5="",0,Inställningar!$B$5)</f>
        <v>850</v>
      </c>
      <c r="AA121" s="10">
        <f t="shared" si="18"/>
        <v>0</v>
      </c>
      <c r="AB121" s="4"/>
      <c r="AC121" s="13">
        <f>IF(Inställningar!$B$6="",0,Inställningar!$B$6)</f>
        <v>0.15</v>
      </c>
      <c r="AD121" s="10">
        <f t="shared" si="19"/>
        <v>0</v>
      </c>
      <c r="AE121" s="12"/>
    </row>
    <row r="122" spans="1:3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2"/>
      <c r="R122" s="12"/>
      <c r="S122" s="12"/>
      <c r="T122" s="12"/>
      <c r="U122" s="12"/>
      <c r="V122" s="18"/>
      <c r="W122" s="10">
        <f t="shared" si="16"/>
        <v>0</v>
      </c>
      <c r="X122" s="11"/>
      <c r="Y122" s="11">
        <f t="shared" si="17"/>
        <v>0</v>
      </c>
      <c r="Z122" s="10">
        <f>IF(Inställningar!$B$5="",0,Inställningar!$B$5)</f>
        <v>850</v>
      </c>
      <c r="AA122" s="10">
        <f t="shared" si="18"/>
        <v>0</v>
      </c>
      <c r="AB122" s="4"/>
      <c r="AC122" s="13">
        <f>IF(Inställningar!$B$6="",0,Inställningar!$B$6)</f>
        <v>0.15</v>
      </c>
      <c r="AD122" s="10">
        <f t="shared" si="19"/>
        <v>0</v>
      </c>
      <c r="AE122" s="12"/>
    </row>
    <row r="123" spans="1:3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2"/>
      <c r="R123" s="12"/>
      <c r="S123" s="12"/>
      <c r="T123" s="12"/>
      <c r="U123" s="12"/>
      <c r="V123" s="18"/>
      <c r="W123" s="10">
        <f t="shared" si="16"/>
        <v>0</v>
      </c>
      <c r="X123" s="11"/>
      <c r="Y123" s="11">
        <f t="shared" si="17"/>
        <v>0</v>
      </c>
      <c r="Z123" s="10">
        <f>IF(Inställningar!$B$5="",0,Inställningar!$B$5)</f>
        <v>850</v>
      </c>
      <c r="AA123" s="10">
        <f t="shared" si="18"/>
        <v>0</v>
      </c>
      <c r="AB123" s="4"/>
      <c r="AC123" s="13">
        <f>IF(Inställningar!$B$6="",0,Inställningar!$B$6)</f>
        <v>0.15</v>
      </c>
      <c r="AD123" s="10">
        <f t="shared" si="19"/>
        <v>0</v>
      </c>
      <c r="AE123" s="12"/>
    </row>
    <row r="124" spans="1:3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2"/>
      <c r="R124" s="12"/>
      <c r="S124" s="12"/>
      <c r="T124" s="12"/>
      <c r="U124" s="12"/>
      <c r="V124" s="18"/>
      <c r="W124" s="10">
        <f t="shared" si="16"/>
        <v>0</v>
      </c>
      <c r="X124" s="11"/>
      <c r="Y124" s="11">
        <f t="shared" si="17"/>
        <v>0</v>
      </c>
      <c r="Z124" s="10">
        <f>IF(Inställningar!$B$5="",0,Inställningar!$B$5)</f>
        <v>850</v>
      </c>
      <c r="AA124" s="10">
        <f t="shared" si="18"/>
        <v>0</v>
      </c>
      <c r="AB124" s="4"/>
      <c r="AC124" s="13">
        <f>IF(Inställningar!$B$6="",0,Inställningar!$B$6)</f>
        <v>0.15</v>
      </c>
      <c r="AD124" s="10">
        <f t="shared" si="19"/>
        <v>0</v>
      </c>
      <c r="AE124" s="12"/>
    </row>
    <row r="125" spans="1:3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2"/>
      <c r="R125" s="12"/>
      <c r="S125" s="12"/>
      <c r="T125" s="12"/>
      <c r="U125" s="12"/>
      <c r="V125" s="18"/>
      <c r="W125" s="10">
        <f t="shared" si="16"/>
        <v>0</v>
      </c>
      <c r="X125" s="11"/>
      <c r="Y125" s="11">
        <f t="shared" si="17"/>
        <v>0</v>
      </c>
      <c r="Z125" s="10">
        <f>IF(Inställningar!$B$5="",0,Inställningar!$B$5)</f>
        <v>850</v>
      </c>
      <c r="AA125" s="10">
        <f t="shared" si="18"/>
        <v>0</v>
      </c>
      <c r="AB125" s="4"/>
      <c r="AC125" s="13">
        <f>IF(Inställningar!$B$6="",0,Inställningar!$B$6)</f>
        <v>0.15</v>
      </c>
      <c r="AD125" s="10">
        <f t="shared" si="19"/>
        <v>0</v>
      </c>
      <c r="AE125" s="12"/>
    </row>
    <row r="126" spans="1:3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2"/>
      <c r="R126" s="12"/>
      <c r="S126" s="12"/>
      <c r="T126" s="12"/>
      <c r="U126" s="12"/>
      <c r="V126" s="18"/>
      <c r="W126" s="10">
        <f t="shared" si="16"/>
        <v>0</v>
      </c>
      <c r="X126" s="11"/>
      <c r="Y126" s="11">
        <f t="shared" si="17"/>
        <v>0</v>
      </c>
      <c r="Z126" s="10">
        <f>IF(Inställningar!$B$5="",0,Inställningar!$B$5)</f>
        <v>850</v>
      </c>
      <c r="AA126" s="10">
        <f t="shared" si="18"/>
        <v>0</v>
      </c>
      <c r="AB126" s="4"/>
      <c r="AC126" s="13">
        <f>IF(Inställningar!$B$6="",0,Inställningar!$B$6)</f>
        <v>0.15</v>
      </c>
      <c r="AD126" s="10">
        <f t="shared" si="19"/>
        <v>0</v>
      </c>
      <c r="AE126" s="12"/>
    </row>
  </sheetData>
  <mergeCells count="2">
    <mergeCell ref="A1:O2"/>
    <mergeCell ref="A3:O4"/>
  </mergeCells>
  <conditionalFormatting sqref="J7:J51">
    <cfRule type="expression" dxfId="1" priority="1">
      <formula>J7="Ja"</formula>
    </cfRule>
  </conditionalFormatting>
  <dataValidations count="3">
    <dataValidation type="list" sqref="A7:A51 I7:J51" xr:uid="{00000000-0002-0000-0500-000000000000}">
      <formula1>"Ja,Nej"</formula1>
    </dataValidation>
    <dataValidation type="list" sqref="U7:U126" xr:uid="{00000000-0002-0000-0500-000003000000}">
      <formula1>"st,m,m²,paket,tim,övrigt"</formula1>
    </dataValidation>
    <dataValidation type="list" sqref="Q7:Q126" xr:uid="{00000000-0002-0000-0500-000004000000}">
      <formula1>$D$7:$D$51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26"/>
  <sheetViews>
    <sheetView workbookViewId="0"/>
  </sheetViews>
  <sheetFormatPr defaultRowHeight="14.25"/>
  <cols>
    <col min="1" max="1" width="11" customWidth="1"/>
    <col min="2" max="3" width="16" customWidth="1"/>
    <col min="4" max="4" width="24" customWidth="1"/>
    <col min="5" max="5" width="30" customWidth="1"/>
    <col min="6" max="6" width="13" customWidth="1"/>
    <col min="7" max="7" width="18" customWidth="1"/>
    <col min="8" max="8" width="16" customWidth="1"/>
    <col min="9" max="9" width="10" customWidth="1"/>
    <col min="10" max="10" width="20" customWidth="1"/>
    <col min="11" max="11" width="18" customWidth="1"/>
    <col min="12" max="12" width="15" customWidth="1"/>
    <col min="13" max="13" width="16" customWidth="1"/>
    <col min="14" max="14" width="15" customWidth="1"/>
    <col min="15" max="15" width="48" customWidth="1"/>
    <col min="17" max="17" width="24" customWidth="1"/>
    <col min="18" max="18" width="16" customWidth="1"/>
    <col min="19" max="19" width="32" customWidth="1"/>
    <col min="20" max="21" width="10" customWidth="1"/>
    <col min="22" max="23" width="16" customWidth="1"/>
    <col min="24" max="24" width="13" customWidth="1"/>
    <col min="25" max="25" width="12" customWidth="1"/>
    <col min="26" max="26" width="14" customWidth="1"/>
    <col min="27" max="27" width="16" customWidth="1"/>
    <col min="28" max="28" width="14" customWidth="1"/>
    <col min="29" max="29" width="12" customWidth="1"/>
    <col min="30" max="30" width="16" customWidth="1"/>
    <col min="31" max="31" width="40" customWidth="1"/>
  </cols>
  <sheetData>
    <row r="1" spans="1:31">
      <c r="A1" s="19" t="s">
        <v>436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21" t="s">
        <v>281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30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63</v>
      </c>
      <c r="L6" s="2" t="s">
        <v>64</v>
      </c>
      <c r="M6" s="2" t="s">
        <v>65</v>
      </c>
      <c r="N6" s="2" t="s">
        <v>66</v>
      </c>
      <c r="O6" s="2" t="s">
        <v>67</v>
      </c>
      <c r="P6" s="3"/>
      <c r="Q6" s="2" t="s">
        <v>56</v>
      </c>
      <c r="R6" s="2" t="s">
        <v>68</v>
      </c>
      <c r="S6" s="2" t="s">
        <v>69</v>
      </c>
      <c r="T6" s="2" t="s">
        <v>70</v>
      </c>
      <c r="U6" s="2" t="s">
        <v>30</v>
      </c>
      <c r="V6" s="2" t="s">
        <v>71</v>
      </c>
      <c r="W6" s="2" t="s">
        <v>72</v>
      </c>
      <c r="X6" s="2" t="s">
        <v>73</v>
      </c>
      <c r="Y6" s="2" t="s">
        <v>74</v>
      </c>
      <c r="Z6" s="2" t="s">
        <v>75</v>
      </c>
      <c r="AA6" s="2" t="s">
        <v>76</v>
      </c>
      <c r="AB6" s="2" t="s">
        <v>77</v>
      </c>
      <c r="AC6" s="2" t="s">
        <v>78</v>
      </c>
      <c r="AD6" s="2" t="s">
        <v>79</v>
      </c>
      <c r="AE6" s="2" t="s">
        <v>17</v>
      </c>
    </row>
    <row r="7" spans="1:31" ht="28.5">
      <c r="A7" s="7" t="s">
        <v>46</v>
      </c>
      <c r="B7" s="7" t="s">
        <v>282</v>
      </c>
      <c r="C7" s="7" t="s">
        <v>195</v>
      </c>
      <c r="D7" s="7" t="s">
        <v>437</v>
      </c>
      <c r="E7" s="7" t="s">
        <v>438</v>
      </c>
      <c r="F7" s="7" t="s">
        <v>84</v>
      </c>
      <c r="G7" s="8">
        <v>0</v>
      </c>
      <c r="H7" s="9">
        <v>0</v>
      </c>
      <c r="I7" s="7" t="s">
        <v>85</v>
      </c>
      <c r="J7" s="7" t="s">
        <v>85</v>
      </c>
      <c r="K7" s="10">
        <f t="shared" ref="K7:K51" si="0">IF(D7="","",SUMIF($Q$7:$Q$126,D7,$AD$7:$AD$126))</f>
        <v>0</v>
      </c>
      <c r="L7" s="11">
        <f t="shared" ref="L7:L51" si="1">IF(D7="","",SUMIF($Q$7:$Q$126,D7,$Y$7:$Y$126))</f>
        <v>0</v>
      </c>
      <c r="M7" s="10">
        <f t="shared" ref="M7:M51" si="2">IF(D7="","",IF(J7="Ja",K7,G7))</f>
        <v>0</v>
      </c>
      <c r="N7" s="11">
        <f t="shared" ref="N7:N51" si="3">IF(D7="","",IF(J7="Ja",L7,H7))</f>
        <v>0</v>
      </c>
      <c r="O7" s="3" t="s">
        <v>439</v>
      </c>
      <c r="P7" s="3"/>
      <c r="Q7" s="12" t="s">
        <v>440</v>
      </c>
      <c r="R7" s="12" t="s">
        <v>179</v>
      </c>
      <c r="S7" s="12" t="s">
        <v>89</v>
      </c>
      <c r="T7" s="12">
        <v>1</v>
      </c>
      <c r="U7" s="12" t="s">
        <v>90</v>
      </c>
      <c r="V7" s="18">
        <v>8734.7826089999999</v>
      </c>
      <c r="W7" s="10">
        <f t="shared" ref="W7:W38" si="4">IF(OR(T7="",V7=""),0,T7*V7)</f>
        <v>8734.7826089999999</v>
      </c>
      <c r="X7" s="11">
        <v>2</v>
      </c>
      <c r="Y7" s="11">
        <f t="shared" ref="Y7:Y38" si="5">IF(OR(T7="",X7=""),0,T7*X7)</f>
        <v>2</v>
      </c>
      <c r="Z7" s="10">
        <f>IF(Inställningar!$B$5="",0,Inställningar!$B$5)</f>
        <v>850</v>
      </c>
      <c r="AA7" s="10">
        <f t="shared" ref="AA7:AA38" si="6">Y7*Z7</f>
        <v>1700</v>
      </c>
      <c r="AB7" s="4">
        <v>0</v>
      </c>
      <c r="AC7" s="13">
        <f>IF(Inställningar!$B$6="",0,Inställningar!$B$6)</f>
        <v>0.15</v>
      </c>
      <c r="AD7" s="10">
        <f t="shared" ref="AD7:AD38" si="7">ROUND((W7+AA7+IF(AB7="",0,AB7))*(1+AC7),0)</f>
        <v>12000</v>
      </c>
      <c r="AE7" s="12" t="s">
        <v>288</v>
      </c>
    </row>
    <row r="8" spans="1:31" ht="29.25">
      <c r="A8" s="7" t="s">
        <v>46</v>
      </c>
      <c r="B8" s="7" t="s">
        <v>282</v>
      </c>
      <c r="C8" s="7" t="s">
        <v>198</v>
      </c>
      <c r="D8" s="7" t="s">
        <v>440</v>
      </c>
      <c r="E8" s="7" t="s">
        <v>438</v>
      </c>
      <c r="F8" s="7" t="s">
        <v>84</v>
      </c>
      <c r="G8" s="8">
        <v>12000</v>
      </c>
      <c r="H8" s="9">
        <v>2</v>
      </c>
      <c r="I8" s="7" t="s">
        <v>85</v>
      </c>
      <c r="J8" s="7" t="s">
        <v>46</v>
      </c>
      <c r="K8" s="10">
        <f t="shared" si="0"/>
        <v>12000</v>
      </c>
      <c r="L8" s="11">
        <f t="shared" si="1"/>
        <v>2</v>
      </c>
      <c r="M8" s="10">
        <f t="shared" si="2"/>
        <v>12000</v>
      </c>
      <c r="N8" s="11">
        <f t="shared" si="3"/>
        <v>2</v>
      </c>
      <c r="O8" s="3" t="s">
        <v>441</v>
      </c>
      <c r="P8" s="3"/>
      <c r="Q8" s="12" t="s">
        <v>442</v>
      </c>
      <c r="R8" s="12" t="s">
        <v>183</v>
      </c>
      <c r="S8" s="12" t="s">
        <v>89</v>
      </c>
      <c r="T8" s="12">
        <v>1</v>
      </c>
      <c r="U8" s="12" t="s">
        <v>90</v>
      </c>
      <c r="V8" s="18">
        <v>18339.130434999999</v>
      </c>
      <c r="W8" s="10">
        <f t="shared" si="4"/>
        <v>18339.130434999999</v>
      </c>
      <c r="X8" s="11">
        <v>4</v>
      </c>
      <c r="Y8" s="11">
        <f t="shared" si="5"/>
        <v>4</v>
      </c>
      <c r="Z8" s="10">
        <f>IF(Inställningar!$B$5="",0,Inställningar!$B$5)</f>
        <v>850</v>
      </c>
      <c r="AA8" s="10">
        <f t="shared" si="6"/>
        <v>3400</v>
      </c>
      <c r="AB8" s="4">
        <v>0</v>
      </c>
      <c r="AC8" s="13">
        <f>IF(Inställningar!$B$6="",0,Inställningar!$B$6)</f>
        <v>0.15</v>
      </c>
      <c r="AD8" s="10">
        <f t="shared" si="7"/>
        <v>25000</v>
      </c>
      <c r="AE8" s="12" t="s">
        <v>288</v>
      </c>
    </row>
    <row r="9" spans="1:31" ht="29.25">
      <c r="A9" s="7" t="s">
        <v>46</v>
      </c>
      <c r="B9" s="7" t="s">
        <v>282</v>
      </c>
      <c r="C9" s="7" t="s">
        <v>200</v>
      </c>
      <c r="D9" s="7" t="s">
        <v>442</v>
      </c>
      <c r="E9" s="7" t="s">
        <v>438</v>
      </c>
      <c r="F9" s="7" t="s">
        <v>84</v>
      </c>
      <c r="G9" s="8">
        <v>25000</v>
      </c>
      <c r="H9" s="9">
        <v>4</v>
      </c>
      <c r="I9" s="7" t="s">
        <v>85</v>
      </c>
      <c r="J9" s="7" t="s">
        <v>46</v>
      </c>
      <c r="K9" s="10">
        <f t="shared" si="0"/>
        <v>25000</v>
      </c>
      <c r="L9" s="11">
        <f t="shared" si="1"/>
        <v>4</v>
      </c>
      <c r="M9" s="10">
        <f t="shared" si="2"/>
        <v>25000</v>
      </c>
      <c r="N9" s="11">
        <f t="shared" si="3"/>
        <v>4</v>
      </c>
      <c r="O9" s="3" t="s">
        <v>443</v>
      </c>
      <c r="P9" s="3"/>
      <c r="Q9" s="12" t="s">
        <v>444</v>
      </c>
      <c r="R9" s="12" t="s">
        <v>445</v>
      </c>
      <c r="S9" s="12" t="s">
        <v>89</v>
      </c>
      <c r="T9" s="12">
        <v>1</v>
      </c>
      <c r="U9" s="12" t="s">
        <v>90</v>
      </c>
      <c r="V9" s="18">
        <v>60313.043478</v>
      </c>
      <c r="W9" s="10">
        <f t="shared" si="4"/>
        <v>60313.043478</v>
      </c>
      <c r="X9" s="11">
        <v>16</v>
      </c>
      <c r="Y9" s="11">
        <f t="shared" si="5"/>
        <v>16</v>
      </c>
      <c r="Z9" s="10">
        <f>IF(Inställningar!$B$5="",0,Inställningar!$B$5)</f>
        <v>850</v>
      </c>
      <c r="AA9" s="10">
        <f t="shared" si="6"/>
        <v>13600</v>
      </c>
      <c r="AB9" s="4">
        <v>0</v>
      </c>
      <c r="AC9" s="13">
        <f>IF(Inställningar!$B$6="",0,Inställningar!$B$6)</f>
        <v>0.15</v>
      </c>
      <c r="AD9" s="10">
        <f t="shared" si="7"/>
        <v>85000</v>
      </c>
      <c r="AE9" s="12" t="s">
        <v>288</v>
      </c>
    </row>
    <row r="10" spans="1:31" ht="29.25">
      <c r="A10" s="7" t="s">
        <v>46</v>
      </c>
      <c r="B10" s="7" t="s">
        <v>104</v>
      </c>
      <c r="C10" s="7" t="s">
        <v>446</v>
      </c>
      <c r="D10" s="7" t="s">
        <v>444</v>
      </c>
      <c r="E10" s="7" t="s">
        <v>447</v>
      </c>
      <c r="F10" s="7" t="s">
        <v>84</v>
      </c>
      <c r="G10" s="8">
        <v>85000</v>
      </c>
      <c r="H10" s="9">
        <v>16</v>
      </c>
      <c r="I10" s="7" t="s">
        <v>85</v>
      </c>
      <c r="J10" s="7" t="s">
        <v>46</v>
      </c>
      <c r="K10" s="10">
        <f t="shared" si="0"/>
        <v>85000</v>
      </c>
      <c r="L10" s="11">
        <f t="shared" si="1"/>
        <v>16</v>
      </c>
      <c r="M10" s="10">
        <f t="shared" si="2"/>
        <v>85000</v>
      </c>
      <c r="N10" s="11">
        <f t="shared" si="3"/>
        <v>16</v>
      </c>
      <c r="O10" s="3" t="s">
        <v>448</v>
      </c>
      <c r="P10" s="3"/>
      <c r="Q10" s="12" t="s">
        <v>409</v>
      </c>
      <c r="R10" s="12" t="s">
        <v>410</v>
      </c>
      <c r="S10" s="12" t="s">
        <v>89</v>
      </c>
      <c r="T10" s="12">
        <v>1</v>
      </c>
      <c r="U10" s="12" t="s">
        <v>90</v>
      </c>
      <c r="V10" s="18">
        <v>89995.652174000003</v>
      </c>
      <c r="W10" s="10">
        <f t="shared" si="4"/>
        <v>89995.652174000003</v>
      </c>
      <c r="X10" s="11">
        <v>22</v>
      </c>
      <c r="Y10" s="11">
        <f t="shared" si="5"/>
        <v>22</v>
      </c>
      <c r="Z10" s="10">
        <f>IF(Inställningar!$B$5="",0,Inställningar!$B$5)</f>
        <v>850</v>
      </c>
      <c r="AA10" s="10">
        <f t="shared" si="6"/>
        <v>18700</v>
      </c>
      <c r="AB10" s="4">
        <v>0</v>
      </c>
      <c r="AC10" s="13">
        <f>IF(Inställningar!$B$6="",0,Inställningar!$B$6)</f>
        <v>0.15</v>
      </c>
      <c r="AD10" s="10">
        <f t="shared" si="7"/>
        <v>125000</v>
      </c>
      <c r="AE10" s="12" t="s">
        <v>288</v>
      </c>
    </row>
    <row r="11" spans="1:31" ht="29.25">
      <c r="A11" s="7" t="s">
        <v>46</v>
      </c>
      <c r="B11" s="7" t="s">
        <v>104</v>
      </c>
      <c r="C11" s="7" t="s">
        <v>411</v>
      </c>
      <c r="D11" s="7" t="s">
        <v>409</v>
      </c>
      <c r="E11" s="7" t="s">
        <v>447</v>
      </c>
      <c r="F11" s="7" t="s">
        <v>84</v>
      </c>
      <c r="G11" s="8">
        <v>125000</v>
      </c>
      <c r="H11" s="9">
        <v>22</v>
      </c>
      <c r="I11" s="7" t="s">
        <v>85</v>
      </c>
      <c r="J11" s="7" t="s">
        <v>46</v>
      </c>
      <c r="K11" s="10">
        <f t="shared" si="0"/>
        <v>125000</v>
      </c>
      <c r="L11" s="11">
        <f t="shared" si="1"/>
        <v>22</v>
      </c>
      <c r="M11" s="10">
        <f t="shared" si="2"/>
        <v>125000</v>
      </c>
      <c r="N11" s="11">
        <f t="shared" si="3"/>
        <v>22</v>
      </c>
      <c r="O11" s="3" t="s">
        <v>449</v>
      </c>
      <c r="P11" s="3"/>
      <c r="Q11" s="12" t="s">
        <v>450</v>
      </c>
      <c r="R11" s="12" t="s">
        <v>129</v>
      </c>
      <c r="S11" s="12" t="s">
        <v>89</v>
      </c>
      <c r="T11" s="12">
        <v>1</v>
      </c>
      <c r="U11" s="12" t="s">
        <v>90</v>
      </c>
      <c r="V11" s="18">
        <v>32330.434783000001</v>
      </c>
      <c r="W11" s="10">
        <f t="shared" si="4"/>
        <v>32330.434783000001</v>
      </c>
      <c r="X11" s="11">
        <v>8</v>
      </c>
      <c r="Y11" s="11">
        <f t="shared" si="5"/>
        <v>8</v>
      </c>
      <c r="Z11" s="10">
        <f>IF(Inställningar!$B$5="",0,Inställningar!$B$5)</f>
        <v>850</v>
      </c>
      <c r="AA11" s="10">
        <f t="shared" si="6"/>
        <v>6800</v>
      </c>
      <c r="AB11" s="4">
        <v>0</v>
      </c>
      <c r="AC11" s="13">
        <f>IF(Inställningar!$B$6="",0,Inställningar!$B$6)</f>
        <v>0.15</v>
      </c>
      <c r="AD11" s="10">
        <f t="shared" si="7"/>
        <v>45000</v>
      </c>
      <c r="AE11" s="12" t="s">
        <v>288</v>
      </c>
    </row>
    <row r="12" spans="1:31" ht="29.25">
      <c r="A12" s="7" t="s">
        <v>46</v>
      </c>
      <c r="B12" s="7" t="s">
        <v>451</v>
      </c>
      <c r="C12" s="7" t="s">
        <v>139</v>
      </c>
      <c r="D12" s="7" t="s">
        <v>450</v>
      </c>
      <c r="E12" s="7" t="s">
        <v>452</v>
      </c>
      <c r="F12" s="7" t="s">
        <v>84</v>
      </c>
      <c r="G12" s="8">
        <v>45000</v>
      </c>
      <c r="H12" s="9">
        <v>8</v>
      </c>
      <c r="I12" s="7" t="s">
        <v>85</v>
      </c>
      <c r="J12" s="7" t="s">
        <v>46</v>
      </c>
      <c r="K12" s="10">
        <f t="shared" si="0"/>
        <v>45000</v>
      </c>
      <c r="L12" s="11">
        <f t="shared" si="1"/>
        <v>8</v>
      </c>
      <c r="M12" s="10">
        <f t="shared" si="2"/>
        <v>45000</v>
      </c>
      <c r="N12" s="11">
        <f t="shared" si="3"/>
        <v>8</v>
      </c>
      <c r="O12" s="3" t="s">
        <v>453</v>
      </c>
      <c r="P12" s="3"/>
      <c r="Q12" s="12" t="s">
        <v>454</v>
      </c>
      <c r="R12" s="12" t="s">
        <v>369</v>
      </c>
      <c r="S12" s="12" t="s">
        <v>89</v>
      </c>
      <c r="T12" s="12">
        <v>1</v>
      </c>
      <c r="U12" s="12" t="s">
        <v>90</v>
      </c>
      <c r="V12" s="18">
        <v>55017.391303999997</v>
      </c>
      <c r="W12" s="10">
        <f t="shared" si="4"/>
        <v>55017.391303999997</v>
      </c>
      <c r="X12" s="11">
        <v>12</v>
      </c>
      <c r="Y12" s="11">
        <f t="shared" si="5"/>
        <v>12</v>
      </c>
      <c r="Z12" s="10">
        <f>IF(Inställningar!$B$5="",0,Inställningar!$B$5)</f>
        <v>850</v>
      </c>
      <c r="AA12" s="10">
        <f t="shared" si="6"/>
        <v>10200</v>
      </c>
      <c r="AB12" s="4">
        <v>0</v>
      </c>
      <c r="AC12" s="13">
        <f>IF(Inställningar!$B$6="",0,Inställningar!$B$6)</f>
        <v>0.15</v>
      </c>
      <c r="AD12" s="10">
        <f t="shared" si="7"/>
        <v>75000</v>
      </c>
      <c r="AE12" s="12" t="s">
        <v>288</v>
      </c>
    </row>
    <row r="13" spans="1:31" ht="29.25">
      <c r="A13" s="7" t="s">
        <v>46</v>
      </c>
      <c r="B13" s="7" t="s">
        <v>451</v>
      </c>
      <c r="C13" s="7" t="s">
        <v>370</v>
      </c>
      <c r="D13" s="7" t="s">
        <v>454</v>
      </c>
      <c r="E13" s="7" t="s">
        <v>452</v>
      </c>
      <c r="F13" s="7" t="s">
        <v>84</v>
      </c>
      <c r="G13" s="8">
        <v>75000</v>
      </c>
      <c r="H13" s="9">
        <v>12</v>
      </c>
      <c r="I13" s="7" t="s">
        <v>85</v>
      </c>
      <c r="J13" s="7" t="s">
        <v>46</v>
      </c>
      <c r="K13" s="10">
        <f t="shared" si="0"/>
        <v>75000</v>
      </c>
      <c r="L13" s="11">
        <f t="shared" si="1"/>
        <v>12</v>
      </c>
      <c r="M13" s="10">
        <f t="shared" si="2"/>
        <v>75000</v>
      </c>
      <c r="N13" s="11">
        <f t="shared" si="3"/>
        <v>12</v>
      </c>
      <c r="O13" s="3" t="s">
        <v>455</v>
      </c>
      <c r="P13" s="3"/>
      <c r="Q13" s="12" t="s">
        <v>117</v>
      </c>
      <c r="R13" s="12" t="s">
        <v>118</v>
      </c>
      <c r="S13" s="12" t="s">
        <v>89</v>
      </c>
      <c r="T13" s="12">
        <v>1</v>
      </c>
      <c r="U13" s="12" t="s">
        <v>90</v>
      </c>
      <c r="V13" s="18">
        <v>3952.1739130000001</v>
      </c>
      <c r="W13" s="10">
        <f t="shared" si="4"/>
        <v>3952.1739130000001</v>
      </c>
      <c r="X13" s="11">
        <v>2</v>
      </c>
      <c r="Y13" s="11">
        <f t="shared" si="5"/>
        <v>2</v>
      </c>
      <c r="Z13" s="10">
        <f>IF(Inställningar!$B$5="",0,Inställningar!$B$5)</f>
        <v>850</v>
      </c>
      <c r="AA13" s="10">
        <f t="shared" si="6"/>
        <v>1700</v>
      </c>
      <c r="AB13" s="4">
        <v>0</v>
      </c>
      <c r="AC13" s="13">
        <f>IF(Inställningar!$B$6="",0,Inställningar!$B$6)</f>
        <v>0.15</v>
      </c>
      <c r="AD13" s="10">
        <f t="shared" si="7"/>
        <v>6500</v>
      </c>
      <c r="AE13" s="12" t="s">
        <v>288</v>
      </c>
    </row>
    <row r="14" spans="1:31" ht="29.25">
      <c r="A14" s="7" t="s">
        <v>46</v>
      </c>
      <c r="B14" s="7" t="s">
        <v>124</v>
      </c>
      <c r="C14" s="7" t="s">
        <v>125</v>
      </c>
      <c r="D14" s="7" t="s">
        <v>117</v>
      </c>
      <c r="E14" s="7" t="s">
        <v>126</v>
      </c>
      <c r="F14" s="7" t="s">
        <v>84</v>
      </c>
      <c r="G14" s="8">
        <v>6500</v>
      </c>
      <c r="H14" s="9">
        <v>2</v>
      </c>
      <c r="I14" s="7" t="s">
        <v>85</v>
      </c>
      <c r="J14" s="7" t="s">
        <v>46</v>
      </c>
      <c r="K14" s="10">
        <f t="shared" si="0"/>
        <v>6500</v>
      </c>
      <c r="L14" s="11">
        <f t="shared" si="1"/>
        <v>2</v>
      </c>
      <c r="M14" s="10">
        <f t="shared" si="2"/>
        <v>6500</v>
      </c>
      <c r="N14" s="11">
        <f t="shared" si="3"/>
        <v>2</v>
      </c>
      <c r="O14" s="3" t="s">
        <v>456</v>
      </c>
      <c r="P14" s="3"/>
      <c r="Q14" s="12" t="s">
        <v>122</v>
      </c>
      <c r="R14" s="12" t="s">
        <v>123</v>
      </c>
      <c r="S14" s="12" t="s">
        <v>89</v>
      </c>
      <c r="T14" s="12">
        <v>1</v>
      </c>
      <c r="U14" s="12" t="s">
        <v>90</v>
      </c>
      <c r="V14" s="18">
        <v>19208.695651999999</v>
      </c>
      <c r="W14" s="10">
        <f t="shared" si="4"/>
        <v>19208.695651999999</v>
      </c>
      <c r="X14" s="11">
        <v>4</v>
      </c>
      <c r="Y14" s="11">
        <f t="shared" si="5"/>
        <v>4</v>
      </c>
      <c r="Z14" s="10">
        <f>IF(Inställningar!$B$5="",0,Inställningar!$B$5)</f>
        <v>850</v>
      </c>
      <c r="AA14" s="10">
        <f t="shared" si="6"/>
        <v>3400</v>
      </c>
      <c r="AB14" s="4">
        <v>0</v>
      </c>
      <c r="AC14" s="13">
        <f>IF(Inställningar!$B$6="",0,Inställningar!$B$6)</f>
        <v>0.15</v>
      </c>
      <c r="AD14" s="10">
        <f t="shared" si="7"/>
        <v>26000</v>
      </c>
      <c r="AE14" s="12" t="s">
        <v>288</v>
      </c>
    </row>
    <row r="15" spans="1:31" ht="29.25">
      <c r="A15" s="7" t="s">
        <v>46</v>
      </c>
      <c r="B15" s="7" t="s">
        <v>124</v>
      </c>
      <c r="C15" s="7" t="s">
        <v>130</v>
      </c>
      <c r="D15" s="7" t="s">
        <v>122</v>
      </c>
      <c r="E15" s="7" t="s">
        <v>126</v>
      </c>
      <c r="F15" s="7" t="s">
        <v>84</v>
      </c>
      <c r="G15" s="8">
        <v>26000</v>
      </c>
      <c r="H15" s="9">
        <v>4</v>
      </c>
      <c r="I15" s="7" t="s">
        <v>85</v>
      </c>
      <c r="J15" s="7" t="s">
        <v>46</v>
      </c>
      <c r="K15" s="10">
        <f t="shared" si="0"/>
        <v>26000</v>
      </c>
      <c r="L15" s="11">
        <f t="shared" si="1"/>
        <v>4</v>
      </c>
      <c r="M15" s="10">
        <f t="shared" si="2"/>
        <v>26000</v>
      </c>
      <c r="N15" s="11">
        <f t="shared" si="3"/>
        <v>4</v>
      </c>
      <c r="O15" s="3" t="s">
        <v>420</v>
      </c>
      <c r="P15" s="3"/>
      <c r="Q15" s="12" t="s">
        <v>151</v>
      </c>
      <c r="R15" s="12" t="s">
        <v>152</v>
      </c>
      <c r="S15" s="12" t="s">
        <v>89</v>
      </c>
      <c r="T15" s="12">
        <v>1</v>
      </c>
      <c r="U15" s="12" t="s">
        <v>90</v>
      </c>
      <c r="V15" s="18">
        <v>7575</v>
      </c>
      <c r="W15" s="10">
        <f t="shared" si="4"/>
        <v>7575</v>
      </c>
      <c r="X15" s="11">
        <v>0.5</v>
      </c>
      <c r="Y15" s="11">
        <f t="shared" si="5"/>
        <v>0.5</v>
      </c>
      <c r="Z15" s="10">
        <f>IF(Inställningar!$B$5="",0,Inställningar!$B$5)</f>
        <v>850</v>
      </c>
      <c r="AA15" s="10">
        <f t="shared" si="6"/>
        <v>425</v>
      </c>
      <c r="AB15" s="4">
        <v>0</v>
      </c>
      <c r="AC15" s="13">
        <f>IF(Inställningar!$B$6="",0,Inställningar!$B$6)</f>
        <v>0.15</v>
      </c>
      <c r="AD15" s="10">
        <f t="shared" si="7"/>
        <v>9200</v>
      </c>
      <c r="AE15" s="12" t="s">
        <v>288</v>
      </c>
    </row>
    <row r="16" spans="1:31" ht="29.25">
      <c r="A16" s="7" t="s">
        <v>46</v>
      </c>
      <c r="B16" s="7" t="s">
        <v>174</v>
      </c>
      <c r="C16" s="7" t="s">
        <v>180</v>
      </c>
      <c r="D16" s="7" t="s">
        <v>151</v>
      </c>
      <c r="E16" s="7" t="s">
        <v>457</v>
      </c>
      <c r="F16" s="7" t="s">
        <v>30</v>
      </c>
      <c r="G16" s="8">
        <v>9200</v>
      </c>
      <c r="H16" s="9">
        <v>0.5</v>
      </c>
      <c r="I16" s="7" t="s">
        <v>85</v>
      </c>
      <c r="J16" s="7" t="s">
        <v>46</v>
      </c>
      <c r="K16" s="10">
        <f t="shared" si="0"/>
        <v>9200</v>
      </c>
      <c r="L16" s="11">
        <f t="shared" si="1"/>
        <v>0.5</v>
      </c>
      <c r="M16" s="10">
        <f t="shared" si="2"/>
        <v>9200</v>
      </c>
      <c r="N16" s="11">
        <f t="shared" si="3"/>
        <v>0.5</v>
      </c>
      <c r="O16" s="3" t="s">
        <v>458</v>
      </c>
      <c r="P16" s="3"/>
      <c r="Q16" s="12" t="s">
        <v>155</v>
      </c>
      <c r="R16" s="12" t="s">
        <v>156</v>
      </c>
      <c r="S16" s="12" t="s">
        <v>89</v>
      </c>
      <c r="T16" s="12">
        <v>1</v>
      </c>
      <c r="U16" s="12" t="s">
        <v>90</v>
      </c>
      <c r="V16" s="18">
        <v>3227.1739130000001</v>
      </c>
      <c r="W16" s="10">
        <f t="shared" si="4"/>
        <v>3227.1739130000001</v>
      </c>
      <c r="X16" s="11">
        <v>0.5</v>
      </c>
      <c r="Y16" s="11">
        <f t="shared" si="5"/>
        <v>0.5</v>
      </c>
      <c r="Z16" s="10">
        <f>IF(Inställningar!$B$5="",0,Inställningar!$B$5)</f>
        <v>850</v>
      </c>
      <c r="AA16" s="10">
        <f t="shared" si="6"/>
        <v>425</v>
      </c>
      <c r="AB16" s="4">
        <v>0</v>
      </c>
      <c r="AC16" s="13">
        <f>IF(Inställningar!$B$6="",0,Inställningar!$B$6)</f>
        <v>0.15</v>
      </c>
      <c r="AD16" s="10">
        <f t="shared" si="7"/>
        <v>4200</v>
      </c>
      <c r="AE16" s="12" t="s">
        <v>288</v>
      </c>
    </row>
    <row r="17" spans="1:31" ht="29.25">
      <c r="A17" s="7" t="s">
        <v>46</v>
      </c>
      <c r="B17" s="7" t="s">
        <v>174</v>
      </c>
      <c r="C17" s="7" t="s">
        <v>184</v>
      </c>
      <c r="D17" s="7" t="s">
        <v>155</v>
      </c>
      <c r="E17" s="7" t="s">
        <v>425</v>
      </c>
      <c r="F17" s="7" t="s">
        <v>30</v>
      </c>
      <c r="G17" s="8">
        <v>4200</v>
      </c>
      <c r="H17" s="9">
        <v>0.5</v>
      </c>
      <c r="I17" s="7" t="s">
        <v>85</v>
      </c>
      <c r="J17" s="7" t="s">
        <v>46</v>
      </c>
      <c r="K17" s="10">
        <f t="shared" si="0"/>
        <v>4200</v>
      </c>
      <c r="L17" s="11">
        <f t="shared" si="1"/>
        <v>0.5</v>
      </c>
      <c r="M17" s="10">
        <f t="shared" si="2"/>
        <v>4200</v>
      </c>
      <c r="N17" s="11">
        <f t="shared" si="3"/>
        <v>0.5</v>
      </c>
      <c r="O17" s="3" t="s">
        <v>312</v>
      </c>
      <c r="P17" s="3"/>
      <c r="Q17" s="12" t="s">
        <v>147</v>
      </c>
      <c r="R17" s="12" t="s">
        <v>148</v>
      </c>
      <c r="S17" s="12" t="s">
        <v>89</v>
      </c>
      <c r="T17" s="12">
        <v>1</v>
      </c>
      <c r="U17" s="12" t="s">
        <v>90</v>
      </c>
      <c r="V17" s="18">
        <v>6444.5652170000003</v>
      </c>
      <c r="W17" s="10">
        <f t="shared" si="4"/>
        <v>6444.5652170000003</v>
      </c>
      <c r="X17" s="11">
        <v>0.5</v>
      </c>
      <c r="Y17" s="11">
        <f t="shared" si="5"/>
        <v>0.5</v>
      </c>
      <c r="Z17" s="10">
        <f>IF(Inställningar!$B$5="",0,Inställningar!$B$5)</f>
        <v>850</v>
      </c>
      <c r="AA17" s="10">
        <f t="shared" si="6"/>
        <v>425</v>
      </c>
      <c r="AB17" s="4">
        <v>0</v>
      </c>
      <c r="AC17" s="13">
        <f>IF(Inställningar!$B$6="",0,Inställningar!$B$6)</f>
        <v>0.15</v>
      </c>
      <c r="AD17" s="10">
        <f t="shared" si="7"/>
        <v>7900</v>
      </c>
      <c r="AE17" s="12" t="s">
        <v>288</v>
      </c>
    </row>
    <row r="18" spans="1:31" ht="29.25">
      <c r="A18" s="7" t="s">
        <v>46</v>
      </c>
      <c r="B18" s="7" t="s">
        <v>174</v>
      </c>
      <c r="C18" s="7" t="s">
        <v>175</v>
      </c>
      <c r="D18" s="7" t="s">
        <v>147</v>
      </c>
      <c r="E18" s="7" t="s">
        <v>385</v>
      </c>
      <c r="F18" s="7" t="s">
        <v>30</v>
      </c>
      <c r="G18" s="8">
        <v>7900</v>
      </c>
      <c r="H18" s="9">
        <v>0.5</v>
      </c>
      <c r="I18" s="7" t="s">
        <v>85</v>
      </c>
      <c r="J18" s="7" t="s">
        <v>46</v>
      </c>
      <c r="K18" s="10">
        <f t="shared" si="0"/>
        <v>7900</v>
      </c>
      <c r="L18" s="11">
        <f t="shared" si="1"/>
        <v>0.5</v>
      </c>
      <c r="M18" s="10">
        <f t="shared" si="2"/>
        <v>7900</v>
      </c>
      <c r="N18" s="11">
        <f t="shared" si="3"/>
        <v>0.5</v>
      </c>
      <c r="O18" s="3" t="s">
        <v>310</v>
      </c>
      <c r="P18" s="3"/>
      <c r="Q18" s="12" t="s">
        <v>159</v>
      </c>
      <c r="R18" s="12" t="s">
        <v>160</v>
      </c>
      <c r="S18" s="12" t="s">
        <v>89</v>
      </c>
      <c r="T18" s="12">
        <v>1</v>
      </c>
      <c r="U18" s="12" t="s">
        <v>90</v>
      </c>
      <c r="V18" s="18">
        <v>10986.956522</v>
      </c>
      <c r="W18" s="10">
        <f t="shared" si="4"/>
        <v>10986.956522</v>
      </c>
      <c r="X18" s="11">
        <v>6</v>
      </c>
      <c r="Y18" s="11">
        <f t="shared" si="5"/>
        <v>6</v>
      </c>
      <c r="Z18" s="10">
        <f>IF(Inställningar!$B$5="",0,Inställningar!$B$5)</f>
        <v>850</v>
      </c>
      <c r="AA18" s="10">
        <f t="shared" si="6"/>
        <v>5100</v>
      </c>
      <c r="AB18" s="4">
        <v>0</v>
      </c>
      <c r="AC18" s="13">
        <f>IF(Inställningar!$B$6="",0,Inställningar!$B$6)</f>
        <v>0.15</v>
      </c>
      <c r="AD18" s="10">
        <f t="shared" si="7"/>
        <v>18500</v>
      </c>
      <c r="AE18" s="12" t="s">
        <v>288</v>
      </c>
    </row>
    <row r="19" spans="1:31" ht="29.25">
      <c r="A19" s="7" t="s">
        <v>46</v>
      </c>
      <c r="B19" s="7" t="s">
        <v>174</v>
      </c>
      <c r="C19" s="7" t="s">
        <v>188</v>
      </c>
      <c r="D19" s="7" t="s">
        <v>159</v>
      </c>
      <c r="E19" s="7" t="s">
        <v>189</v>
      </c>
      <c r="F19" s="7" t="s">
        <v>30</v>
      </c>
      <c r="G19" s="8">
        <v>18500</v>
      </c>
      <c r="H19" s="9">
        <v>6</v>
      </c>
      <c r="I19" s="7" t="s">
        <v>85</v>
      </c>
      <c r="J19" s="7" t="s">
        <v>46</v>
      </c>
      <c r="K19" s="10">
        <f t="shared" si="0"/>
        <v>18500</v>
      </c>
      <c r="L19" s="11">
        <f t="shared" si="1"/>
        <v>6</v>
      </c>
      <c r="M19" s="10">
        <f t="shared" si="2"/>
        <v>18500</v>
      </c>
      <c r="N19" s="11">
        <f t="shared" si="3"/>
        <v>6</v>
      </c>
      <c r="O19" s="3" t="s">
        <v>313</v>
      </c>
      <c r="P19" s="3"/>
      <c r="Q19" s="12" t="s">
        <v>163</v>
      </c>
      <c r="R19" s="12" t="s">
        <v>164</v>
      </c>
      <c r="S19" s="12" t="s">
        <v>89</v>
      </c>
      <c r="T19" s="12">
        <v>1</v>
      </c>
      <c r="U19" s="12" t="s">
        <v>90</v>
      </c>
      <c r="V19" s="18">
        <v>18852.173912999999</v>
      </c>
      <c r="W19" s="10">
        <f t="shared" si="4"/>
        <v>18852.173912999999</v>
      </c>
      <c r="X19" s="11">
        <v>8</v>
      </c>
      <c r="Y19" s="11">
        <f t="shared" si="5"/>
        <v>8</v>
      </c>
      <c r="Z19" s="10">
        <f>IF(Inställningar!$B$5="",0,Inställningar!$B$5)</f>
        <v>850</v>
      </c>
      <c r="AA19" s="10">
        <f t="shared" si="6"/>
        <v>6800</v>
      </c>
      <c r="AB19" s="4">
        <v>0</v>
      </c>
      <c r="AC19" s="13">
        <f>IF(Inställningar!$B$6="",0,Inställningar!$B$6)</f>
        <v>0.15</v>
      </c>
      <c r="AD19" s="10">
        <f t="shared" si="7"/>
        <v>29500</v>
      </c>
      <c r="AE19" s="12" t="s">
        <v>288</v>
      </c>
    </row>
    <row r="20" spans="1:31" ht="29.25">
      <c r="A20" s="7" t="s">
        <v>46</v>
      </c>
      <c r="B20" s="7" t="s">
        <v>174</v>
      </c>
      <c r="C20" s="7" t="s">
        <v>191</v>
      </c>
      <c r="D20" s="7" t="s">
        <v>163</v>
      </c>
      <c r="E20" s="7" t="s">
        <v>189</v>
      </c>
      <c r="F20" s="7" t="s">
        <v>30</v>
      </c>
      <c r="G20" s="8">
        <v>29500</v>
      </c>
      <c r="H20" s="9">
        <v>8</v>
      </c>
      <c r="I20" s="7" t="s">
        <v>85</v>
      </c>
      <c r="J20" s="7" t="s">
        <v>46</v>
      </c>
      <c r="K20" s="10">
        <f t="shared" si="0"/>
        <v>29500</v>
      </c>
      <c r="L20" s="11">
        <f t="shared" si="1"/>
        <v>8</v>
      </c>
      <c r="M20" s="10">
        <f t="shared" si="2"/>
        <v>29500</v>
      </c>
      <c r="N20" s="11">
        <f t="shared" si="3"/>
        <v>8</v>
      </c>
      <c r="O20" s="3" t="s">
        <v>314</v>
      </c>
      <c r="P20" s="3"/>
      <c r="Q20" s="12" t="s">
        <v>167</v>
      </c>
      <c r="R20" s="12" t="s">
        <v>168</v>
      </c>
      <c r="S20" s="12" t="s">
        <v>89</v>
      </c>
      <c r="T20" s="12">
        <v>1</v>
      </c>
      <c r="U20" s="12" t="s">
        <v>90</v>
      </c>
      <c r="V20" s="18">
        <v>29800</v>
      </c>
      <c r="W20" s="10">
        <f t="shared" si="4"/>
        <v>29800</v>
      </c>
      <c r="X20" s="11">
        <v>12</v>
      </c>
      <c r="Y20" s="11">
        <f t="shared" si="5"/>
        <v>12</v>
      </c>
      <c r="Z20" s="10">
        <f>IF(Inställningar!$B$5="",0,Inställningar!$B$5)</f>
        <v>850</v>
      </c>
      <c r="AA20" s="10">
        <f t="shared" si="6"/>
        <v>10200</v>
      </c>
      <c r="AB20" s="4">
        <v>0</v>
      </c>
      <c r="AC20" s="13">
        <f>IF(Inställningar!$B$6="",0,Inställningar!$B$6)</f>
        <v>0.15</v>
      </c>
      <c r="AD20" s="10">
        <f t="shared" si="7"/>
        <v>46000</v>
      </c>
      <c r="AE20" s="12" t="s">
        <v>288</v>
      </c>
    </row>
    <row r="21" spans="1:31" ht="29.25">
      <c r="A21" s="7" t="s">
        <v>46</v>
      </c>
      <c r="B21" s="7" t="s">
        <v>174</v>
      </c>
      <c r="C21" s="7" t="s">
        <v>193</v>
      </c>
      <c r="D21" s="7" t="s">
        <v>167</v>
      </c>
      <c r="E21" s="7" t="s">
        <v>189</v>
      </c>
      <c r="F21" s="7" t="s">
        <v>30</v>
      </c>
      <c r="G21" s="8">
        <v>46000</v>
      </c>
      <c r="H21" s="9">
        <v>12</v>
      </c>
      <c r="I21" s="7" t="s">
        <v>85</v>
      </c>
      <c r="J21" s="7" t="s">
        <v>46</v>
      </c>
      <c r="K21" s="10">
        <f t="shared" si="0"/>
        <v>46000</v>
      </c>
      <c r="L21" s="11">
        <f t="shared" si="1"/>
        <v>12</v>
      </c>
      <c r="M21" s="10">
        <f t="shared" si="2"/>
        <v>46000</v>
      </c>
      <c r="N21" s="11">
        <f t="shared" si="3"/>
        <v>12</v>
      </c>
      <c r="O21" s="3" t="s">
        <v>315</v>
      </c>
      <c r="P21" s="3"/>
      <c r="Q21" s="12" t="s">
        <v>316</v>
      </c>
      <c r="R21" s="12" t="s">
        <v>317</v>
      </c>
      <c r="S21" s="12" t="s">
        <v>89</v>
      </c>
      <c r="T21" s="12">
        <v>1</v>
      </c>
      <c r="U21" s="12" t="s">
        <v>90</v>
      </c>
      <c r="V21" s="18">
        <v>20947.826087000001</v>
      </c>
      <c r="W21" s="10">
        <f t="shared" si="4"/>
        <v>20947.826087000001</v>
      </c>
      <c r="X21" s="11">
        <v>4</v>
      </c>
      <c r="Y21" s="11">
        <f t="shared" si="5"/>
        <v>4</v>
      </c>
      <c r="Z21" s="10">
        <f>IF(Inställningar!$B$5="",0,Inställningar!$B$5)</f>
        <v>850</v>
      </c>
      <c r="AA21" s="10">
        <f t="shared" si="6"/>
        <v>3400</v>
      </c>
      <c r="AB21" s="4">
        <v>0</v>
      </c>
      <c r="AC21" s="13">
        <f>IF(Inställningar!$B$6="",0,Inställningar!$B$6)</f>
        <v>0.15</v>
      </c>
      <c r="AD21" s="10">
        <f t="shared" si="7"/>
        <v>28000</v>
      </c>
      <c r="AE21" s="12" t="s">
        <v>288</v>
      </c>
    </row>
    <row r="22" spans="1:31" ht="29.25">
      <c r="A22" s="7" t="s">
        <v>46</v>
      </c>
      <c r="B22" s="7" t="s">
        <v>318</v>
      </c>
      <c r="C22" s="7" t="s">
        <v>319</v>
      </c>
      <c r="D22" s="7" t="s">
        <v>316</v>
      </c>
      <c r="E22" s="7" t="s">
        <v>320</v>
      </c>
      <c r="F22" s="7" t="s">
        <v>84</v>
      </c>
      <c r="G22" s="8">
        <v>28000</v>
      </c>
      <c r="H22" s="9">
        <v>4</v>
      </c>
      <c r="I22" s="7" t="s">
        <v>85</v>
      </c>
      <c r="J22" s="7" t="s">
        <v>46</v>
      </c>
      <c r="K22" s="10">
        <f t="shared" si="0"/>
        <v>28000</v>
      </c>
      <c r="L22" s="11">
        <f t="shared" si="1"/>
        <v>4</v>
      </c>
      <c r="M22" s="10">
        <f t="shared" si="2"/>
        <v>28000</v>
      </c>
      <c r="N22" s="11">
        <f t="shared" si="3"/>
        <v>4</v>
      </c>
      <c r="O22" s="3" t="s">
        <v>459</v>
      </c>
      <c r="P22" s="3"/>
      <c r="Q22" s="12" t="s">
        <v>460</v>
      </c>
      <c r="R22" s="12" t="s">
        <v>133</v>
      </c>
      <c r="S22" s="12" t="s">
        <v>89</v>
      </c>
      <c r="T22" s="12">
        <v>1</v>
      </c>
      <c r="U22" s="12" t="s">
        <v>90</v>
      </c>
      <c r="V22" s="18">
        <v>17489.130434999999</v>
      </c>
      <c r="W22" s="10">
        <f t="shared" si="4"/>
        <v>17489.130434999999</v>
      </c>
      <c r="X22" s="11">
        <v>5</v>
      </c>
      <c r="Y22" s="11">
        <f t="shared" si="5"/>
        <v>5</v>
      </c>
      <c r="Z22" s="10">
        <f>IF(Inställningar!$B$5="",0,Inställningar!$B$5)</f>
        <v>850</v>
      </c>
      <c r="AA22" s="10">
        <f t="shared" si="6"/>
        <v>4250</v>
      </c>
      <c r="AB22" s="4">
        <v>0</v>
      </c>
      <c r="AC22" s="13">
        <f>IF(Inställningar!$B$6="",0,Inställningar!$B$6)</f>
        <v>0.15</v>
      </c>
      <c r="AD22" s="10">
        <f t="shared" si="7"/>
        <v>25000</v>
      </c>
      <c r="AE22" s="12" t="s">
        <v>288</v>
      </c>
    </row>
    <row r="23" spans="1:31" ht="29.25">
      <c r="A23" s="7" t="s">
        <v>46</v>
      </c>
      <c r="B23" s="7" t="s">
        <v>461</v>
      </c>
      <c r="C23" s="7" t="s">
        <v>153</v>
      </c>
      <c r="D23" s="7" t="s">
        <v>460</v>
      </c>
      <c r="E23" s="7" t="s">
        <v>462</v>
      </c>
      <c r="F23" s="7" t="s">
        <v>84</v>
      </c>
      <c r="G23" s="8">
        <v>25000</v>
      </c>
      <c r="H23" s="9">
        <v>5</v>
      </c>
      <c r="I23" s="7" t="s">
        <v>85</v>
      </c>
      <c r="J23" s="7" t="s">
        <v>46</v>
      </c>
      <c r="K23" s="10">
        <f t="shared" si="0"/>
        <v>25000</v>
      </c>
      <c r="L23" s="11">
        <f t="shared" si="1"/>
        <v>5</v>
      </c>
      <c r="M23" s="10">
        <f t="shared" si="2"/>
        <v>25000</v>
      </c>
      <c r="N23" s="11">
        <f t="shared" si="3"/>
        <v>5</v>
      </c>
      <c r="O23" s="3" t="s">
        <v>463</v>
      </c>
      <c r="P23" s="3"/>
      <c r="Q23" s="12" t="s">
        <v>186</v>
      </c>
      <c r="R23" s="12" t="s">
        <v>187</v>
      </c>
      <c r="S23" s="12" t="s">
        <v>89</v>
      </c>
      <c r="T23" s="12">
        <v>1</v>
      </c>
      <c r="U23" s="12" t="s">
        <v>90</v>
      </c>
      <c r="V23" s="18">
        <v>6145.6521739999998</v>
      </c>
      <c r="W23" s="10">
        <f t="shared" si="4"/>
        <v>6145.6521739999998</v>
      </c>
      <c r="X23" s="11">
        <v>3</v>
      </c>
      <c r="Y23" s="11">
        <f t="shared" si="5"/>
        <v>3</v>
      </c>
      <c r="Z23" s="10">
        <f>IF(Inställningar!$B$5="",0,Inställningar!$B$5)</f>
        <v>850</v>
      </c>
      <c r="AA23" s="10">
        <f t="shared" si="6"/>
        <v>2550</v>
      </c>
      <c r="AB23" s="4">
        <v>0</v>
      </c>
      <c r="AC23" s="13">
        <f>IF(Inställningar!$B$6="",0,Inställningar!$B$6)</f>
        <v>0.15</v>
      </c>
      <c r="AD23" s="10">
        <f t="shared" si="7"/>
        <v>10000</v>
      </c>
      <c r="AE23" s="12" t="s">
        <v>288</v>
      </c>
    </row>
    <row r="24" spans="1:31" ht="29.25">
      <c r="A24" s="7" t="s">
        <v>46</v>
      </c>
      <c r="B24" s="7" t="s">
        <v>205</v>
      </c>
      <c r="C24" s="7" t="s">
        <v>220</v>
      </c>
      <c r="D24" s="7" t="s">
        <v>186</v>
      </c>
      <c r="E24" s="7" t="s">
        <v>327</v>
      </c>
      <c r="F24" s="7" t="s">
        <v>84</v>
      </c>
      <c r="G24" s="8">
        <v>10000</v>
      </c>
      <c r="H24" s="9">
        <v>3</v>
      </c>
      <c r="I24" s="7" t="s">
        <v>85</v>
      </c>
      <c r="J24" s="7" t="s">
        <v>46</v>
      </c>
      <c r="K24" s="10">
        <f t="shared" si="0"/>
        <v>10000</v>
      </c>
      <c r="L24" s="11">
        <f t="shared" si="1"/>
        <v>3</v>
      </c>
      <c r="M24" s="10">
        <f t="shared" si="2"/>
        <v>10000</v>
      </c>
      <c r="N24" s="11">
        <f t="shared" si="3"/>
        <v>3</v>
      </c>
      <c r="O24" s="3" t="s">
        <v>328</v>
      </c>
      <c r="P24" s="3"/>
      <c r="Q24" s="12"/>
      <c r="R24" s="12"/>
      <c r="S24" s="12"/>
      <c r="T24" s="12"/>
      <c r="U24" s="12"/>
      <c r="V24" s="18"/>
      <c r="W24" s="10">
        <f t="shared" si="4"/>
        <v>0</v>
      </c>
      <c r="X24" s="11"/>
      <c r="Y24" s="11">
        <f t="shared" si="5"/>
        <v>0</v>
      </c>
      <c r="Z24" s="10">
        <f>IF(Inställningar!$B$5="",0,Inställningar!$B$5)</f>
        <v>850</v>
      </c>
      <c r="AA24" s="10">
        <f t="shared" si="6"/>
        <v>0</v>
      </c>
      <c r="AB24" s="4"/>
      <c r="AC24" s="13">
        <f>IF(Inställningar!$B$6="",0,Inställningar!$B$6)</f>
        <v>0.15</v>
      </c>
      <c r="AD24" s="10">
        <f t="shared" si="7"/>
        <v>0</v>
      </c>
      <c r="AE24" s="12"/>
    </row>
    <row r="25" spans="1:31">
      <c r="A25" s="7" t="s">
        <v>46</v>
      </c>
      <c r="B25" s="7" t="s">
        <v>205</v>
      </c>
      <c r="C25" s="7" t="s">
        <v>228</v>
      </c>
      <c r="D25" s="7" t="s">
        <v>229</v>
      </c>
      <c r="E25" s="7" t="s">
        <v>230</v>
      </c>
      <c r="F25" s="7" t="s">
        <v>231</v>
      </c>
      <c r="G25" s="8">
        <v>0</v>
      </c>
      <c r="H25" s="9">
        <v>0</v>
      </c>
      <c r="I25" s="7" t="s">
        <v>85</v>
      </c>
      <c r="J25" s="7" t="s">
        <v>85</v>
      </c>
      <c r="K25" s="10">
        <f t="shared" si="0"/>
        <v>0</v>
      </c>
      <c r="L25" s="11">
        <f t="shared" si="1"/>
        <v>0</v>
      </c>
      <c r="M25" s="10">
        <f t="shared" si="2"/>
        <v>0</v>
      </c>
      <c r="N25" s="11">
        <f t="shared" si="3"/>
        <v>0</v>
      </c>
      <c r="O25" s="3" t="s">
        <v>333</v>
      </c>
      <c r="P25" s="3"/>
      <c r="Q25" s="12"/>
      <c r="R25" s="12"/>
      <c r="S25" s="12"/>
      <c r="T25" s="12"/>
      <c r="U25" s="12"/>
      <c r="V25" s="18"/>
      <c r="W25" s="10">
        <f t="shared" si="4"/>
        <v>0</v>
      </c>
      <c r="X25" s="11"/>
      <c r="Y25" s="11">
        <f t="shared" si="5"/>
        <v>0</v>
      </c>
      <c r="Z25" s="10">
        <f>IF(Inställningar!$B$5="",0,Inställningar!$B$5)</f>
        <v>850</v>
      </c>
      <c r="AA25" s="10">
        <f t="shared" si="6"/>
        <v>0</v>
      </c>
      <c r="AB25" s="4"/>
      <c r="AC25" s="13">
        <f>IF(Inställningar!$B$6="",0,Inställningar!$B$6)</f>
        <v>0.15</v>
      </c>
      <c r="AD25" s="10">
        <f t="shared" si="7"/>
        <v>0</v>
      </c>
      <c r="AE25" s="12"/>
    </row>
    <row r="26" spans="1:31">
      <c r="A26" s="7" t="s">
        <v>85</v>
      </c>
      <c r="B26" s="7"/>
      <c r="C26" s="7"/>
      <c r="D26" s="7"/>
      <c r="E26" s="7"/>
      <c r="F26" s="7"/>
      <c r="G26" s="8"/>
      <c r="H26" s="9"/>
      <c r="I26" s="7" t="s">
        <v>85</v>
      </c>
      <c r="J26" s="7" t="s">
        <v>85</v>
      </c>
      <c r="K26" s="10" t="str">
        <f t="shared" si="0"/>
        <v/>
      </c>
      <c r="L26" s="11" t="str">
        <f t="shared" si="1"/>
        <v/>
      </c>
      <c r="M26" s="10" t="str">
        <f t="shared" si="2"/>
        <v/>
      </c>
      <c r="N26" s="11" t="str">
        <f t="shared" si="3"/>
        <v/>
      </c>
      <c r="O26" s="3"/>
      <c r="P26" s="3"/>
      <c r="Q26" s="12"/>
      <c r="R26" s="12"/>
      <c r="S26" s="12"/>
      <c r="T26" s="12"/>
      <c r="U26" s="12"/>
      <c r="V26" s="18"/>
      <c r="W26" s="10">
        <f t="shared" si="4"/>
        <v>0</v>
      </c>
      <c r="X26" s="11"/>
      <c r="Y26" s="11">
        <f t="shared" si="5"/>
        <v>0</v>
      </c>
      <c r="Z26" s="10">
        <f>IF(Inställningar!$B$5="",0,Inställningar!$B$5)</f>
        <v>850</v>
      </c>
      <c r="AA26" s="10">
        <f t="shared" si="6"/>
        <v>0</v>
      </c>
      <c r="AB26" s="4"/>
      <c r="AC26" s="13">
        <f>IF(Inställningar!$B$6="",0,Inställningar!$B$6)</f>
        <v>0.15</v>
      </c>
      <c r="AD26" s="10">
        <f t="shared" si="7"/>
        <v>0</v>
      </c>
      <c r="AE26" s="12"/>
    </row>
    <row r="27" spans="1:31">
      <c r="A27" s="7" t="s">
        <v>85</v>
      </c>
      <c r="B27" s="7"/>
      <c r="C27" s="7"/>
      <c r="D27" s="7"/>
      <c r="E27" s="7"/>
      <c r="F27" s="7"/>
      <c r="G27" s="8"/>
      <c r="H27" s="9"/>
      <c r="I27" s="7" t="s">
        <v>85</v>
      </c>
      <c r="J27" s="7" t="s">
        <v>85</v>
      </c>
      <c r="K27" s="10" t="str">
        <f t="shared" si="0"/>
        <v/>
      </c>
      <c r="L27" s="11" t="str">
        <f t="shared" si="1"/>
        <v/>
      </c>
      <c r="M27" s="10" t="str">
        <f t="shared" si="2"/>
        <v/>
      </c>
      <c r="N27" s="11" t="str">
        <f t="shared" si="3"/>
        <v/>
      </c>
      <c r="O27" s="3"/>
      <c r="P27" s="3"/>
      <c r="Q27" s="12"/>
      <c r="R27" s="12"/>
      <c r="S27" s="12"/>
      <c r="T27" s="12"/>
      <c r="U27" s="12"/>
      <c r="V27" s="18"/>
      <c r="W27" s="10">
        <f t="shared" si="4"/>
        <v>0</v>
      </c>
      <c r="X27" s="11"/>
      <c r="Y27" s="11">
        <f t="shared" si="5"/>
        <v>0</v>
      </c>
      <c r="Z27" s="10">
        <f>IF(Inställningar!$B$5="",0,Inställningar!$B$5)</f>
        <v>850</v>
      </c>
      <c r="AA27" s="10">
        <f t="shared" si="6"/>
        <v>0</v>
      </c>
      <c r="AB27" s="4"/>
      <c r="AC27" s="13">
        <f>IF(Inställningar!$B$6="",0,Inställningar!$B$6)</f>
        <v>0.15</v>
      </c>
      <c r="AD27" s="10">
        <f t="shared" si="7"/>
        <v>0</v>
      </c>
      <c r="AE27" s="12"/>
    </row>
    <row r="28" spans="1:31">
      <c r="A28" s="7" t="s">
        <v>85</v>
      </c>
      <c r="B28" s="7"/>
      <c r="C28" s="7"/>
      <c r="D28" s="7"/>
      <c r="E28" s="7"/>
      <c r="F28" s="7"/>
      <c r="G28" s="8"/>
      <c r="H28" s="9"/>
      <c r="I28" s="7" t="s">
        <v>85</v>
      </c>
      <c r="J28" s="7" t="s">
        <v>85</v>
      </c>
      <c r="K28" s="10" t="str">
        <f t="shared" si="0"/>
        <v/>
      </c>
      <c r="L28" s="11" t="str">
        <f t="shared" si="1"/>
        <v/>
      </c>
      <c r="M28" s="10" t="str">
        <f t="shared" si="2"/>
        <v/>
      </c>
      <c r="N28" s="11" t="str">
        <f t="shared" si="3"/>
        <v/>
      </c>
      <c r="O28" s="3"/>
      <c r="P28" s="3"/>
      <c r="Q28" s="12"/>
      <c r="R28" s="12"/>
      <c r="S28" s="12"/>
      <c r="T28" s="12"/>
      <c r="U28" s="12"/>
      <c r="V28" s="18"/>
      <c r="W28" s="10">
        <f t="shared" si="4"/>
        <v>0</v>
      </c>
      <c r="X28" s="11"/>
      <c r="Y28" s="11">
        <f t="shared" si="5"/>
        <v>0</v>
      </c>
      <c r="Z28" s="10">
        <f>IF(Inställningar!$B$5="",0,Inställningar!$B$5)</f>
        <v>850</v>
      </c>
      <c r="AA28" s="10">
        <f t="shared" si="6"/>
        <v>0</v>
      </c>
      <c r="AB28" s="4"/>
      <c r="AC28" s="13">
        <f>IF(Inställningar!$B$6="",0,Inställningar!$B$6)</f>
        <v>0.15</v>
      </c>
      <c r="AD28" s="10">
        <f t="shared" si="7"/>
        <v>0</v>
      </c>
      <c r="AE28" s="12"/>
    </row>
    <row r="29" spans="1:31">
      <c r="A29" s="7" t="s">
        <v>85</v>
      </c>
      <c r="B29" s="7"/>
      <c r="C29" s="7"/>
      <c r="D29" s="7"/>
      <c r="E29" s="7"/>
      <c r="F29" s="7"/>
      <c r="G29" s="8"/>
      <c r="H29" s="9"/>
      <c r="I29" s="7" t="s">
        <v>85</v>
      </c>
      <c r="J29" s="7" t="s">
        <v>85</v>
      </c>
      <c r="K29" s="10" t="str">
        <f t="shared" si="0"/>
        <v/>
      </c>
      <c r="L29" s="11" t="str">
        <f t="shared" si="1"/>
        <v/>
      </c>
      <c r="M29" s="10" t="str">
        <f t="shared" si="2"/>
        <v/>
      </c>
      <c r="N29" s="11" t="str">
        <f t="shared" si="3"/>
        <v/>
      </c>
      <c r="O29" s="3"/>
      <c r="P29" s="3"/>
      <c r="Q29" s="12"/>
      <c r="R29" s="12"/>
      <c r="S29" s="12"/>
      <c r="T29" s="12"/>
      <c r="U29" s="12"/>
      <c r="V29" s="18"/>
      <c r="W29" s="10">
        <f t="shared" si="4"/>
        <v>0</v>
      </c>
      <c r="X29" s="11"/>
      <c r="Y29" s="11">
        <f t="shared" si="5"/>
        <v>0</v>
      </c>
      <c r="Z29" s="10">
        <f>IF(Inställningar!$B$5="",0,Inställningar!$B$5)</f>
        <v>850</v>
      </c>
      <c r="AA29" s="10">
        <f t="shared" si="6"/>
        <v>0</v>
      </c>
      <c r="AB29" s="4"/>
      <c r="AC29" s="13">
        <f>IF(Inställningar!$B$6="",0,Inställningar!$B$6)</f>
        <v>0.15</v>
      </c>
      <c r="AD29" s="10">
        <f t="shared" si="7"/>
        <v>0</v>
      </c>
      <c r="AE29" s="12"/>
    </row>
    <row r="30" spans="1:31">
      <c r="A30" s="7" t="s">
        <v>85</v>
      </c>
      <c r="B30" s="7"/>
      <c r="C30" s="7"/>
      <c r="D30" s="7"/>
      <c r="E30" s="7"/>
      <c r="F30" s="7"/>
      <c r="G30" s="8"/>
      <c r="H30" s="9"/>
      <c r="I30" s="7" t="s">
        <v>85</v>
      </c>
      <c r="J30" s="7" t="s">
        <v>85</v>
      </c>
      <c r="K30" s="10" t="str">
        <f t="shared" si="0"/>
        <v/>
      </c>
      <c r="L30" s="11" t="str">
        <f t="shared" si="1"/>
        <v/>
      </c>
      <c r="M30" s="10" t="str">
        <f t="shared" si="2"/>
        <v/>
      </c>
      <c r="N30" s="11" t="str">
        <f t="shared" si="3"/>
        <v/>
      </c>
      <c r="O30" s="3"/>
      <c r="P30" s="3"/>
      <c r="Q30" s="12"/>
      <c r="R30" s="12"/>
      <c r="S30" s="12"/>
      <c r="T30" s="12"/>
      <c r="U30" s="12"/>
      <c r="V30" s="18"/>
      <c r="W30" s="10">
        <f t="shared" si="4"/>
        <v>0</v>
      </c>
      <c r="X30" s="11"/>
      <c r="Y30" s="11">
        <f t="shared" si="5"/>
        <v>0</v>
      </c>
      <c r="Z30" s="10">
        <f>IF(Inställningar!$B$5="",0,Inställningar!$B$5)</f>
        <v>850</v>
      </c>
      <c r="AA30" s="10">
        <f t="shared" si="6"/>
        <v>0</v>
      </c>
      <c r="AB30" s="4"/>
      <c r="AC30" s="13">
        <f>IF(Inställningar!$B$6="",0,Inställningar!$B$6)</f>
        <v>0.15</v>
      </c>
      <c r="AD30" s="10">
        <f t="shared" si="7"/>
        <v>0</v>
      </c>
      <c r="AE30" s="12"/>
    </row>
    <row r="31" spans="1:31">
      <c r="A31" s="7" t="s">
        <v>85</v>
      </c>
      <c r="B31" s="7"/>
      <c r="C31" s="7"/>
      <c r="D31" s="7"/>
      <c r="E31" s="7"/>
      <c r="F31" s="7"/>
      <c r="G31" s="8"/>
      <c r="H31" s="9"/>
      <c r="I31" s="7" t="s">
        <v>85</v>
      </c>
      <c r="J31" s="7" t="s">
        <v>85</v>
      </c>
      <c r="K31" s="10" t="str">
        <f t="shared" si="0"/>
        <v/>
      </c>
      <c r="L31" s="11" t="str">
        <f t="shared" si="1"/>
        <v/>
      </c>
      <c r="M31" s="10" t="str">
        <f t="shared" si="2"/>
        <v/>
      </c>
      <c r="N31" s="11" t="str">
        <f t="shared" si="3"/>
        <v/>
      </c>
      <c r="O31" s="3"/>
      <c r="P31" s="3"/>
      <c r="Q31" s="12"/>
      <c r="R31" s="12"/>
      <c r="S31" s="12"/>
      <c r="T31" s="12"/>
      <c r="U31" s="12"/>
      <c r="V31" s="18"/>
      <c r="W31" s="10">
        <f t="shared" si="4"/>
        <v>0</v>
      </c>
      <c r="X31" s="11"/>
      <c r="Y31" s="11">
        <f t="shared" si="5"/>
        <v>0</v>
      </c>
      <c r="Z31" s="10">
        <f>IF(Inställningar!$B$5="",0,Inställningar!$B$5)</f>
        <v>850</v>
      </c>
      <c r="AA31" s="10">
        <f t="shared" si="6"/>
        <v>0</v>
      </c>
      <c r="AB31" s="4"/>
      <c r="AC31" s="13">
        <f>IF(Inställningar!$B$6="",0,Inställningar!$B$6)</f>
        <v>0.15</v>
      </c>
      <c r="AD31" s="10">
        <f t="shared" si="7"/>
        <v>0</v>
      </c>
      <c r="AE31" s="12"/>
    </row>
    <row r="32" spans="1:31">
      <c r="A32" s="7" t="s">
        <v>85</v>
      </c>
      <c r="B32" s="7"/>
      <c r="C32" s="7"/>
      <c r="D32" s="7"/>
      <c r="E32" s="7"/>
      <c r="F32" s="7"/>
      <c r="G32" s="8"/>
      <c r="H32" s="9"/>
      <c r="I32" s="7" t="s">
        <v>85</v>
      </c>
      <c r="J32" s="7" t="s">
        <v>85</v>
      </c>
      <c r="K32" s="10" t="str">
        <f t="shared" si="0"/>
        <v/>
      </c>
      <c r="L32" s="11" t="str">
        <f t="shared" si="1"/>
        <v/>
      </c>
      <c r="M32" s="10" t="str">
        <f t="shared" si="2"/>
        <v/>
      </c>
      <c r="N32" s="11" t="str">
        <f t="shared" si="3"/>
        <v/>
      </c>
      <c r="O32" s="3"/>
      <c r="P32" s="3"/>
      <c r="Q32" s="12"/>
      <c r="R32" s="12"/>
      <c r="S32" s="12"/>
      <c r="T32" s="12"/>
      <c r="U32" s="12"/>
      <c r="V32" s="18"/>
      <c r="W32" s="10">
        <f t="shared" si="4"/>
        <v>0</v>
      </c>
      <c r="X32" s="11"/>
      <c r="Y32" s="11">
        <f t="shared" si="5"/>
        <v>0</v>
      </c>
      <c r="Z32" s="10">
        <f>IF(Inställningar!$B$5="",0,Inställningar!$B$5)</f>
        <v>850</v>
      </c>
      <c r="AA32" s="10">
        <f t="shared" si="6"/>
        <v>0</v>
      </c>
      <c r="AB32" s="4"/>
      <c r="AC32" s="13">
        <f>IF(Inställningar!$B$6="",0,Inställningar!$B$6)</f>
        <v>0.15</v>
      </c>
      <c r="AD32" s="10">
        <f t="shared" si="7"/>
        <v>0</v>
      </c>
      <c r="AE32" s="12"/>
    </row>
    <row r="33" spans="1:31">
      <c r="A33" s="7" t="s">
        <v>85</v>
      </c>
      <c r="B33" s="7"/>
      <c r="C33" s="7"/>
      <c r="D33" s="7"/>
      <c r="E33" s="7"/>
      <c r="F33" s="7"/>
      <c r="G33" s="8"/>
      <c r="H33" s="9"/>
      <c r="I33" s="7" t="s">
        <v>85</v>
      </c>
      <c r="J33" s="7" t="s">
        <v>85</v>
      </c>
      <c r="K33" s="10" t="str">
        <f t="shared" si="0"/>
        <v/>
      </c>
      <c r="L33" s="11" t="str">
        <f t="shared" si="1"/>
        <v/>
      </c>
      <c r="M33" s="10" t="str">
        <f t="shared" si="2"/>
        <v/>
      </c>
      <c r="N33" s="11" t="str">
        <f t="shared" si="3"/>
        <v/>
      </c>
      <c r="O33" s="3"/>
      <c r="P33" s="3"/>
      <c r="Q33" s="12"/>
      <c r="R33" s="12"/>
      <c r="S33" s="12"/>
      <c r="T33" s="12"/>
      <c r="U33" s="12"/>
      <c r="V33" s="18"/>
      <c r="W33" s="10">
        <f t="shared" si="4"/>
        <v>0</v>
      </c>
      <c r="X33" s="11"/>
      <c r="Y33" s="11">
        <f t="shared" si="5"/>
        <v>0</v>
      </c>
      <c r="Z33" s="10">
        <f>IF(Inställningar!$B$5="",0,Inställningar!$B$5)</f>
        <v>850</v>
      </c>
      <c r="AA33" s="10">
        <f t="shared" si="6"/>
        <v>0</v>
      </c>
      <c r="AB33" s="4"/>
      <c r="AC33" s="13">
        <f>IF(Inställningar!$B$6="",0,Inställningar!$B$6)</f>
        <v>0.15</v>
      </c>
      <c r="AD33" s="10">
        <f t="shared" si="7"/>
        <v>0</v>
      </c>
      <c r="AE33" s="12"/>
    </row>
    <row r="34" spans="1:31">
      <c r="A34" s="7" t="s">
        <v>85</v>
      </c>
      <c r="B34" s="7"/>
      <c r="C34" s="7"/>
      <c r="D34" s="7"/>
      <c r="E34" s="7"/>
      <c r="F34" s="7"/>
      <c r="G34" s="8"/>
      <c r="H34" s="9"/>
      <c r="I34" s="7" t="s">
        <v>85</v>
      </c>
      <c r="J34" s="7" t="s">
        <v>85</v>
      </c>
      <c r="K34" s="10" t="str">
        <f t="shared" si="0"/>
        <v/>
      </c>
      <c r="L34" s="11" t="str">
        <f t="shared" si="1"/>
        <v/>
      </c>
      <c r="M34" s="10" t="str">
        <f t="shared" si="2"/>
        <v/>
      </c>
      <c r="N34" s="11" t="str">
        <f t="shared" si="3"/>
        <v/>
      </c>
      <c r="O34" s="3"/>
      <c r="P34" s="3"/>
      <c r="Q34" s="12"/>
      <c r="R34" s="12"/>
      <c r="S34" s="12"/>
      <c r="T34" s="12"/>
      <c r="U34" s="12"/>
      <c r="V34" s="18"/>
      <c r="W34" s="10">
        <f t="shared" si="4"/>
        <v>0</v>
      </c>
      <c r="X34" s="11"/>
      <c r="Y34" s="11">
        <f t="shared" si="5"/>
        <v>0</v>
      </c>
      <c r="Z34" s="10">
        <f>IF(Inställningar!$B$5="",0,Inställningar!$B$5)</f>
        <v>850</v>
      </c>
      <c r="AA34" s="10">
        <f t="shared" si="6"/>
        <v>0</v>
      </c>
      <c r="AB34" s="4"/>
      <c r="AC34" s="13">
        <f>IF(Inställningar!$B$6="",0,Inställningar!$B$6)</f>
        <v>0.15</v>
      </c>
      <c r="AD34" s="10">
        <f t="shared" si="7"/>
        <v>0</v>
      </c>
      <c r="AE34" s="12"/>
    </row>
    <row r="35" spans="1:31">
      <c r="A35" s="7" t="s">
        <v>85</v>
      </c>
      <c r="B35" s="7"/>
      <c r="C35" s="7"/>
      <c r="D35" s="7"/>
      <c r="E35" s="7"/>
      <c r="F35" s="7"/>
      <c r="G35" s="8"/>
      <c r="H35" s="9"/>
      <c r="I35" s="7" t="s">
        <v>85</v>
      </c>
      <c r="J35" s="7" t="s">
        <v>85</v>
      </c>
      <c r="K35" s="10" t="str">
        <f t="shared" si="0"/>
        <v/>
      </c>
      <c r="L35" s="11" t="str">
        <f t="shared" si="1"/>
        <v/>
      </c>
      <c r="M35" s="10" t="str">
        <f t="shared" si="2"/>
        <v/>
      </c>
      <c r="N35" s="11" t="str">
        <f t="shared" si="3"/>
        <v/>
      </c>
      <c r="O35" s="3"/>
      <c r="P35" s="3"/>
      <c r="Q35" s="12"/>
      <c r="R35" s="12"/>
      <c r="S35" s="12"/>
      <c r="T35" s="12"/>
      <c r="U35" s="12"/>
      <c r="V35" s="18"/>
      <c r="W35" s="10">
        <f t="shared" si="4"/>
        <v>0</v>
      </c>
      <c r="X35" s="11"/>
      <c r="Y35" s="11">
        <f t="shared" si="5"/>
        <v>0</v>
      </c>
      <c r="Z35" s="10">
        <f>IF(Inställningar!$B$5="",0,Inställningar!$B$5)</f>
        <v>850</v>
      </c>
      <c r="AA35" s="10">
        <f t="shared" si="6"/>
        <v>0</v>
      </c>
      <c r="AB35" s="4"/>
      <c r="AC35" s="13">
        <f>IF(Inställningar!$B$6="",0,Inställningar!$B$6)</f>
        <v>0.15</v>
      </c>
      <c r="AD35" s="10">
        <f t="shared" si="7"/>
        <v>0</v>
      </c>
      <c r="AE35" s="12"/>
    </row>
    <row r="36" spans="1:31">
      <c r="A36" s="7" t="s">
        <v>85</v>
      </c>
      <c r="B36" s="7"/>
      <c r="C36" s="7"/>
      <c r="D36" s="7"/>
      <c r="E36" s="7"/>
      <c r="F36" s="7"/>
      <c r="G36" s="8"/>
      <c r="H36" s="9"/>
      <c r="I36" s="7" t="s">
        <v>85</v>
      </c>
      <c r="J36" s="7" t="s">
        <v>85</v>
      </c>
      <c r="K36" s="10" t="str">
        <f t="shared" si="0"/>
        <v/>
      </c>
      <c r="L36" s="11" t="str">
        <f t="shared" si="1"/>
        <v/>
      </c>
      <c r="M36" s="10" t="str">
        <f t="shared" si="2"/>
        <v/>
      </c>
      <c r="N36" s="11" t="str">
        <f t="shared" si="3"/>
        <v/>
      </c>
      <c r="O36" s="3"/>
      <c r="P36" s="3"/>
      <c r="Q36" s="12"/>
      <c r="R36" s="12"/>
      <c r="S36" s="12"/>
      <c r="T36" s="12"/>
      <c r="U36" s="12"/>
      <c r="V36" s="18"/>
      <c r="W36" s="10">
        <f t="shared" si="4"/>
        <v>0</v>
      </c>
      <c r="X36" s="11"/>
      <c r="Y36" s="11">
        <f t="shared" si="5"/>
        <v>0</v>
      </c>
      <c r="Z36" s="10">
        <f>IF(Inställningar!$B$5="",0,Inställningar!$B$5)</f>
        <v>850</v>
      </c>
      <c r="AA36" s="10">
        <f t="shared" si="6"/>
        <v>0</v>
      </c>
      <c r="AB36" s="4"/>
      <c r="AC36" s="13">
        <f>IF(Inställningar!$B$6="",0,Inställningar!$B$6)</f>
        <v>0.15</v>
      </c>
      <c r="AD36" s="10">
        <f t="shared" si="7"/>
        <v>0</v>
      </c>
      <c r="AE36" s="12"/>
    </row>
    <row r="37" spans="1:31">
      <c r="A37" s="7" t="s">
        <v>85</v>
      </c>
      <c r="B37" s="7"/>
      <c r="C37" s="7"/>
      <c r="D37" s="7"/>
      <c r="E37" s="7"/>
      <c r="F37" s="7"/>
      <c r="G37" s="8"/>
      <c r="H37" s="9"/>
      <c r="I37" s="7" t="s">
        <v>85</v>
      </c>
      <c r="J37" s="7" t="s">
        <v>85</v>
      </c>
      <c r="K37" s="10" t="str">
        <f t="shared" si="0"/>
        <v/>
      </c>
      <c r="L37" s="11" t="str">
        <f t="shared" si="1"/>
        <v/>
      </c>
      <c r="M37" s="10" t="str">
        <f t="shared" si="2"/>
        <v/>
      </c>
      <c r="N37" s="11" t="str">
        <f t="shared" si="3"/>
        <v/>
      </c>
      <c r="O37" s="3"/>
      <c r="P37" s="3"/>
      <c r="Q37" s="12"/>
      <c r="R37" s="12"/>
      <c r="S37" s="12"/>
      <c r="T37" s="12"/>
      <c r="U37" s="12"/>
      <c r="V37" s="18"/>
      <c r="W37" s="10">
        <f t="shared" si="4"/>
        <v>0</v>
      </c>
      <c r="X37" s="11"/>
      <c r="Y37" s="11">
        <f t="shared" si="5"/>
        <v>0</v>
      </c>
      <c r="Z37" s="10">
        <f>IF(Inställningar!$B$5="",0,Inställningar!$B$5)</f>
        <v>850</v>
      </c>
      <c r="AA37" s="10">
        <f t="shared" si="6"/>
        <v>0</v>
      </c>
      <c r="AB37" s="4"/>
      <c r="AC37" s="13">
        <f>IF(Inställningar!$B$6="",0,Inställningar!$B$6)</f>
        <v>0.15</v>
      </c>
      <c r="AD37" s="10">
        <f t="shared" si="7"/>
        <v>0</v>
      </c>
      <c r="AE37" s="12"/>
    </row>
    <row r="38" spans="1:31">
      <c r="A38" s="7" t="s">
        <v>85</v>
      </c>
      <c r="B38" s="7"/>
      <c r="C38" s="7"/>
      <c r="D38" s="7"/>
      <c r="E38" s="7"/>
      <c r="F38" s="7"/>
      <c r="G38" s="8"/>
      <c r="H38" s="9"/>
      <c r="I38" s="7" t="s">
        <v>85</v>
      </c>
      <c r="J38" s="7" t="s">
        <v>85</v>
      </c>
      <c r="K38" s="10" t="str">
        <f t="shared" si="0"/>
        <v/>
      </c>
      <c r="L38" s="11" t="str">
        <f t="shared" si="1"/>
        <v/>
      </c>
      <c r="M38" s="10" t="str">
        <f t="shared" si="2"/>
        <v/>
      </c>
      <c r="N38" s="11" t="str">
        <f t="shared" si="3"/>
        <v/>
      </c>
      <c r="O38" s="3"/>
      <c r="P38" s="3"/>
      <c r="Q38" s="12"/>
      <c r="R38" s="12"/>
      <c r="S38" s="12"/>
      <c r="T38" s="12"/>
      <c r="U38" s="12"/>
      <c r="V38" s="18"/>
      <c r="W38" s="10">
        <f t="shared" si="4"/>
        <v>0</v>
      </c>
      <c r="X38" s="11"/>
      <c r="Y38" s="11">
        <f t="shared" si="5"/>
        <v>0</v>
      </c>
      <c r="Z38" s="10">
        <f>IF(Inställningar!$B$5="",0,Inställningar!$B$5)</f>
        <v>850</v>
      </c>
      <c r="AA38" s="10">
        <f t="shared" si="6"/>
        <v>0</v>
      </c>
      <c r="AB38" s="4"/>
      <c r="AC38" s="13">
        <f>IF(Inställningar!$B$6="",0,Inställningar!$B$6)</f>
        <v>0.15</v>
      </c>
      <c r="AD38" s="10">
        <f t="shared" si="7"/>
        <v>0</v>
      </c>
      <c r="AE38" s="12"/>
    </row>
    <row r="39" spans="1:31">
      <c r="A39" s="7" t="s">
        <v>85</v>
      </c>
      <c r="B39" s="7"/>
      <c r="C39" s="7"/>
      <c r="D39" s="7"/>
      <c r="E39" s="7"/>
      <c r="F39" s="7"/>
      <c r="G39" s="8"/>
      <c r="H39" s="9"/>
      <c r="I39" s="7" t="s">
        <v>85</v>
      </c>
      <c r="J39" s="7" t="s">
        <v>85</v>
      </c>
      <c r="K39" s="10" t="str">
        <f t="shared" si="0"/>
        <v/>
      </c>
      <c r="L39" s="11" t="str">
        <f t="shared" si="1"/>
        <v/>
      </c>
      <c r="M39" s="10" t="str">
        <f t="shared" si="2"/>
        <v/>
      </c>
      <c r="N39" s="11" t="str">
        <f t="shared" si="3"/>
        <v/>
      </c>
      <c r="O39" s="3"/>
      <c r="P39" s="3"/>
      <c r="Q39" s="12"/>
      <c r="R39" s="12"/>
      <c r="S39" s="12"/>
      <c r="T39" s="12"/>
      <c r="U39" s="12"/>
      <c r="V39" s="18"/>
      <c r="W39" s="10">
        <f t="shared" ref="W39:W70" si="8">IF(OR(T39="",V39=""),0,T39*V39)</f>
        <v>0</v>
      </c>
      <c r="X39" s="11"/>
      <c r="Y39" s="11">
        <f t="shared" ref="Y39:Y70" si="9">IF(OR(T39="",X39=""),0,T39*X39)</f>
        <v>0</v>
      </c>
      <c r="Z39" s="10">
        <f>IF(Inställningar!$B$5="",0,Inställningar!$B$5)</f>
        <v>850</v>
      </c>
      <c r="AA39" s="10">
        <f t="shared" ref="AA39:AA70" si="10">Y39*Z39</f>
        <v>0</v>
      </c>
      <c r="AB39" s="4"/>
      <c r="AC39" s="13">
        <f>IF(Inställningar!$B$6="",0,Inställningar!$B$6)</f>
        <v>0.15</v>
      </c>
      <c r="AD39" s="10">
        <f t="shared" ref="AD39:AD70" si="11">ROUND((W39+AA39+IF(AB39="",0,AB39))*(1+AC39),0)</f>
        <v>0</v>
      </c>
      <c r="AE39" s="12"/>
    </row>
    <row r="40" spans="1:31">
      <c r="A40" s="7" t="s">
        <v>85</v>
      </c>
      <c r="B40" s="7"/>
      <c r="C40" s="7"/>
      <c r="D40" s="7"/>
      <c r="E40" s="7"/>
      <c r="F40" s="7"/>
      <c r="G40" s="8"/>
      <c r="H40" s="9"/>
      <c r="I40" s="7" t="s">
        <v>85</v>
      </c>
      <c r="J40" s="7" t="s">
        <v>85</v>
      </c>
      <c r="K40" s="10" t="str">
        <f t="shared" si="0"/>
        <v/>
      </c>
      <c r="L40" s="11" t="str">
        <f t="shared" si="1"/>
        <v/>
      </c>
      <c r="M40" s="10" t="str">
        <f t="shared" si="2"/>
        <v/>
      </c>
      <c r="N40" s="11" t="str">
        <f t="shared" si="3"/>
        <v/>
      </c>
      <c r="O40" s="3"/>
      <c r="P40" s="3"/>
      <c r="Q40" s="12"/>
      <c r="R40" s="12"/>
      <c r="S40" s="12"/>
      <c r="T40" s="12"/>
      <c r="U40" s="12"/>
      <c r="V40" s="18"/>
      <c r="W40" s="10">
        <f t="shared" si="8"/>
        <v>0</v>
      </c>
      <c r="X40" s="11"/>
      <c r="Y40" s="11">
        <f t="shared" si="9"/>
        <v>0</v>
      </c>
      <c r="Z40" s="10">
        <f>IF(Inställningar!$B$5="",0,Inställningar!$B$5)</f>
        <v>850</v>
      </c>
      <c r="AA40" s="10">
        <f t="shared" si="10"/>
        <v>0</v>
      </c>
      <c r="AB40" s="4"/>
      <c r="AC40" s="13">
        <f>IF(Inställningar!$B$6="",0,Inställningar!$B$6)</f>
        <v>0.15</v>
      </c>
      <c r="AD40" s="10">
        <f t="shared" si="11"/>
        <v>0</v>
      </c>
      <c r="AE40" s="12"/>
    </row>
    <row r="41" spans="1:31">
      <c r="A41" s="7" t="s">
        <v>85</v>
      </c>
      <c r="B41" s="7"/>
      <c r="C41" s="7"/>
      <c r="D41" s="7"/>
      <c r="E41" s="7"/>
      <c r="F41" s="7"/>
      <c r="G41" s="8"/>
      <c r="H41" s="9"/>
      <c r="I41" s="7" t="s">
        <v>85</v>
      </c>
      <c r="J41" s="7" t="s">
        <v>85</v>
      </c>
      <c r="K41" s="10" t="str">
        <f t="shared" si="0"/>
        <v/>
      </c>
      <c r="L41" s="11" t="str">
        <f t="shared" si="1"/>
        <v/>
      </c>
      <c r="M41" s="10" t="str">
        <f t="shared" si="2"/>
        <v/>
      </c>
      <c r="N41" s="11" t="str">
        <f t="shared" si="3"/>
        <v/>
      </c>
      <c r="O41" s="3"/>
      <c r="P41" s="3"/>
      <c r="Q41" s="12"/>
      <c r="R41" s="12"/>
      <c r="S41" s="12"/>
      <c r="T41" s="12"/>
      <c r="U41" s="12"/>
      <c r="V41" s="18"/>
      <c r="W41" s="10">
        <f t="shared" si="8"/>
        <v>0</v>
      </c>
      <c r="X41" s="11"/>
      <c r="Y41" s="11">
        <f t="shared" si="9"/>
        <v>0</v>
      </c>
      <c r="Z41" s="10">
        <f>IF(Inställningar!$B$5="",0,Inställningar!$B$5)</f>
        <v>850</v>
      </c>
      <c r="AA41" s="10">
        <f t="shared" si="10"/>
        <v>0</v>
      </c>
      <c r="AB41" s="4"/>
      <c r="AC41" s="13">
        <f>IF(Inställningar!$B$6="",0,Inställningar!$B$6)</f>
        <v>0.15</v>
      </c>
      <c r="AD41" s="10">
        <f t="shared" si="11"/>
        <v>0</v>
      </c>
      <c r="AE41" s="12"/>
    </row>
    <row r="42" spans="1:31">
      <c r="A42" s="7" t="s">
        <v>85</v>
      </c>
      <c r="B42" s="7"/>
      <c r="C42" s="7"/>
      <c r="D42" s="7"/>
      <c r="E42" s="7"/>
      <c r="F42" s="7"/>
      <c r="G42" s="8"/>
      <c r="H42" s="9"/>
      <c r="I42" s="7" t="s">
        <v>85</v>
      </c>
      <c r="J42" s="7" t="s">
        <v>85</v>
      </c>
      <c r="K42" s="10" t="str">
        <f t="shared" si="0"/>
        <v/>
      </c>
      <c r="L42" s="11" t="str">
        <f t="shared" si="1"/>
        <v/>
      </c>
      <c r="M42" s="10" t="str">
        <f t="shared" si="2"/>
        <v/>
      </c>
      <c r="N42" s="11" t="str">
        <f t="shared" si="3"/>
        <v/>
      </c>
      <c r="O42" s="3"/>
      <c r="P42" s="3"/>
      <c r="Q42" s="12"/>
      <c r="R42" s="12"/>
      <c r="S42" s="12"/>
      <c r="T42" s="12"/>
      <c r="U42" s="12"/>
      <c r="V42" s="18"/>
      <c r="W42" s="10">
        <f t="shared" si="8"/>
        <v>0</v>
      </c>
      <c r="X42" s="11"/>
      <c r="Y42" s="11">
        <f t="shared" si="9"/>
        <v>0</v>
      </c>
      <c r="Z42" s="10">
        <f>IF(Inställningar!$B$5="",0,Inställningar!$B$5)</f>
        <v>850</v>
      </c>
      <c r="AA42" s="10">
        <f t="shared" si="10"/>
        <v>0</v>
      </c>
      <c r="AB42" s="4"/>
      <c r="AC42" s="13">
        <f>IF(Inställningar!$B$6="",0,Inställningar!$B$6)</f>
        <v>0.15</v>
      </c>
      <c r="AD42" s="10">
        <f t="shared" si="11"/>
        <v>0</v>
      </c>
      <c r="AE42" s="12"/>
    </row>
    <row r="43" spans="1:31">
      <c r="A43" s="7" t="s">
        <v>85</v>
      </c>
      <c r="B43" s="7"/>
      <c r="C43" s="7"/>
      <c r="D43" s="7"/>
      <c r="E43" s="7"/>
      <c r="F43" s="7"/>
      <c r="G43" s="8"/>
      <c r="H43" s="9"/>
      <c r="I43" s="7" t="s">
        <v>85</v>
      </c>
      <c r="J43" s="7" t="s">
        <v>85</v>
      </c>
      <c r="K43" s="10" t="str">
        <f t="shared" si="0"/>
        <v/>
      </c>
      <c r="L43" s="11" t="str">
        <f t="shared" si="1"/>
        <v/>
      </c>
      <c r="M43" s="10" t="str">
        <f t="shared" si="2"/>
        <v/>
      </c>
      <c r="N43" s="11" t="str">
        <f t="shared" si="3"/>
        <v/>
      </c>
      <c r="O43" s="3"/>
      <c r="P43" s="3"/>
      <c r="Q43" s="12"/>
      <c r="R43" s="12"/>
      <c r="S43" s="12"/>
      <c r="T43" s="12"/>
      <c r="U43" s="12"/>
      <c r="V43" s="18"/>
      <c r="W43" s="10">
        <f t="shared" si="8"/>
        <v>0</v>
      </c>
      <c r="X43" s="11"/>
      <c r="Y43" s="11">
        <f t="shared" si="9"/>
        <v>0</v>
      </c>
      <c r="Z43" s="10">
        <f>IF(Inställningar!$B$5="",0,Inställningar!$B$5)</f>
        <v>850</v>
      </c>
      <c r="AA43" s="10">
        <f t="shared" si="10"/>
        <v>0</v>
      </c>
      <c r="AB43" s="4"/>
      <c r="AC43" s="13">
        <f>IF(Inställningar!$B$6="",0,Inställningar!$B$6)</f>
        <v>0.15</v>
      </c>
      <c r="AD43" s="10">
        <f t="shared" si="11"/>
        <v>0</v>
      </c>
      <c r="AE43" s="12"/>
    </row>
    <row r="44" spans="1:31">
      <c r="A44" s="7" t="s">
        <v>85</v>
      </c>
      <c r="B44" s="7"/>
      <c r="C44" s="7"/>
      <c r="D44" s="7"/>
      <c r="E44" s="7"/>
      <c r="F44" s="7"/>
      <c r="G44" s="8"/>
      <c r="H44" s="9"/>
      <c r="I44" s="7" t="s">
        <v>85</v>
      </c>
      <c r="J44" s="7" t="s">
        <v>85</v>
      </c>
      <c r="K44" s="10" t="str">
        <f t="shared" si="0"/>
        <v/>
      </c>
      <c r="L44" s="11" t="str">
        <f t="shared" si="1"/>
        <v/>
      </c>
      <c r="M44" s="10" t="str">
        <f t="shared" si="2"/>
        <v/>
      </c>
      <c r="N44" s="11" t="str">
        <f t="shared" si="3"/>
        <v/>
      </c>
      <c r="O44" s="3"/>
      <c r="P44" s="3"/>
      <c r="Q44" s="12"/>
      <c r="R44" s="12"/>
      <c r="S44" s="12"/>
      <c r="T44" s="12"/>
      <c r="U44" s="12"/>
      <c r="V44" s="18"/>
      <c r="W44" s="10">
        <f t="shared" si="8"/>
        <v>0</v>
      </c>
      <c r="X44" s="11"/>
      <c r="Y44" s="11">
        <f t="shared" si="9"/>
        <v>0</v>
      </c>
      <c r="Z44" s="10">
        <f>IF(Inställningar!$B$5="",0,Inställningar!$B$5)</f>
        <v>850</v>
      </c>
      <c r="AA44" s="10">
        <f t="shared" si="10"/>
        <v>0</v>
      </c>
      <c r="AB44" s="4"/>
      <c r="AC44" s="13">
        <f>IF(Inställningar!$B$6="",0,Inställningar!$B$6)</f>
        <v>0.15</v>
      </c>
      <c r="AD44" s="10">
        <f t="shared" si="11"/>
        <v>0</v>
      </c>
      <c r="AE44" s="12"/>
    </row>
    <row r="45" spans="1:31">
      <c r="A45" s="7" t="s">
        <v>85</v>
      </c>
      <c r="B45" s="7"/>
      <c r="C45" s="7"/>
      <c r="D45" s="7"/>
      <c r="E45" s="7"/>
      <c r="F45" s="7"/>
      <c r="G45" s="8"/>
      <c r="H45" s="9"/>
      <c r="I45" s="7" t="s">
        <v>85</v>
      </c>
      <c r="J45" s="7" t="s">
        <v>85</v>
      </c>
      <c r="K45" s="10" t="str">
        <f t="shared" si="0"/>
        <v/>
      </c>
      <c r="L45" s="11" t="str">
        <f t="shared" si="1"/>
        <v/>
      </c>
      <c r="M45" s="10" t="str">
        <f t="shared" si="2"/>
        <v/>
      </c>
      <c r="N45" s="11" t="str">
        <f t="shared" si="3"/>
        <v/>
      </c>
      <c r="O45" s="3"/>
      <c r="P45" s="3"/>
      <c r="Q45" s="12"/>
      <c r="R45" s="12"/>
      <c r="S45" s="12"/>
      <c r="T45" s="12"/>
      <c r="U45" s="12"/>
      <c r="V45" s="18"/>
      <c r="W45" s="10">
        <f t="shared" si="8"/>
        <v>0</v>
      </c>
      <c r="X45" s="11"/>
      <c r="Y45" s="11">
        <f t="shared" si="9"/>
        <v>0</v>
      </c>
      <c r="Z45" s="10">
        <f>IF(Inställningar!$B$5="",0,Inställningar!$B$5)</f>
        <v>850</v>
      </c>
      <c r="AA45" s="10">
        <f t="shared" si="10"/>
        <v>0</v>
      </c>
      <c r="AB45" s="4"/>
      <c r="AC45" s="13">
        <f>IF(Inställningar!$B$6="",0,Inställningar!$B$6)</f>
        <v>0.15</v>
      </c>
      <c r="AD45" s="10">
        <f t="shared" si="11"/>
        <v>0</v>
      </c>
      <c r="AE45" s="12"/>
    </row>
    <row r="46" spans="1:31">
      <c r="A46" s="7" t="s">
        <v>85</v>
      </c>
      <c r="B46" s="7"/>
      <c r="C46" s="7"/>
      <c r="D46" s="7"/>
      <c r="E46" s="7"/>
      <c r="F46" s="7"/>
      <c r="G46" s="8"/>
      <c r="H46" s="9"/>
      <c r="I46" s="7" t="s">
        <v>85</v>
      </c>
      <c r="J46" s="7" t="s">
        <v>85</v>
      </c>
      <c r="K46" s="10" t="str">
        <f t="shared" si="0"/>
        <v/>
      </c>
      <c r="L46" s="11" t="str">
        <f t="shared" si="1"/>
        <v/>
      </c>
      <c r="M46" s="10" t="str">
        <f t="shared" si="2"/>
        <v/>
      </c>
      <c r="N46" s="11" t="str">
        <f t="shared" si="3"/>
        <v/>
      </c>
      <c r="O46" s="3"/>
      <c r="P46" s="3"/>
      <c r="Q46" s="12"/>
      <c r="R46" s="12"/>
      <c r="S46" s="12"/>
      <c r="T46" s="12"/>
      <c r="U46" s="12"/>
      <c r="V46" s="18"/>
      <c r="W46" s="10">
        <f t="shared" si="8"/>
        <v>0</v>
      </c>
      <c r="X46" s="11"/>
      <c r="Y46" s="11">
        <f t="shared" si="9"/>
        <v>0</v>
      </c>
      <c r="Z46" s="10">
        <f>IF(Inställningar!$B$5="",0,Inställningar!$B$5)</f>
        <v>850</v>
      </c>
      <c r="AA46" s="10">
        <f t="shared" si="10"/>
        <v>0</v>
      </c>
      <c r="AB46" s="4"/>
      <c r="AC46" s="13">
        <f>IF(Inställningar!$B$6="",0,Inställningar!$B$6)</f>
        <v>0.15</v>
      </c>
      <c r="AD46" s="10">
        <f t="shared" si="11"/>
        <v>0</v>
      </c>
      <c r="AE46" s="12"/>
    </row>
    <row r="47" spans="1:31">
      <c r="A47" s="7" t="s">
        <v>85</v>
      </c>
      <c r="B47" s="7"/>
      <c r="C47" s="7"/>
      <c r="D47" s="7"/>
      <c r="E47" s="7"/>
      <c r="F47" s="7"/>
      <c r="G47" s="8"/>
      <c r="H47" s="9"/>
      <c r="I47" s="7" t="s">
        <v>85</v>
      </c>
      <c r="J47" s="7" t="s">
        <v>85</v>
      </c>
      <c r="K47" s="10" t="str">
        <f t="shared" si="0"/>
        <v/>
      </c>
      <c r="L47" s="11" t="str">
        <f t="shared" si="1"/>
        <v/>
      </c>
      <c r="M47" s="10" t="str">
        <f t="shared" si="2"/>
        <v/>
      </c>
      <c r="N47" s="11" t="str">
        <f t="shared" si="3"/>
        <v/>
      </c>
      <c r="O47" s="3"/>
      <c r="P47" s="3"/>
      <c r="Q47" s="12"/>
      <c r="R47" s="12"/>
      <c r="S47" s="12"/>
      <c r="T47" s="12"/>
      <c r="U47" s="12"/>
      <c r="V47" s="18"/>
      <c r="W47" s="10">
        <f t="shared" si="8"/>
        <v>0</v>
      </c>
      <c r="X47" s="11"/>
      <c r="Y47" s="11">
        <f t="shared" si="9"/>
        <v>0</v>
      </c>
      <c r="Z47" s="10">
        <f>IF(Inställningar!$B$5="",0,Inställningar!$B$5)</f>
        <v>850</v>
      </c>
      <c r="AA47" s="10">
        <f t="shared" si="10"/>
        <v>0</v>
      </c>
      <c r="AB47" s="4"/>
      <c r="AC47" s="13">
        <f>IF(Inställningar!$B$6="",0,Inställningar!$B$6)</f>
        <v>0.15</v>
      </c>
      <c r="AD47" s="10">
        <f t="shared" si="11"/>
        <v>0</v>
      </c>
      <c r="AE47" s="12"/>
    </row>
    <row r="48" spans="1:31">
      <c r="A48" s="7" t="s">
        <v>85</v>
      </c>
      <c r="B48" s="7"/>
      <c r="C48" s="7"/>
      <c r="D48" s="7"/>
      <c r="E48" s="7"/>
      <c r="F48" s="7"/>
      <c r="G48" s="8"/>
      <c r="H48" s="9"/>
      <c r="I48" s="7" t="s">
        <v>85</v>
      </c>
      <c r="J48" s="7" t="s">
        <v>85</v>
      </c>
      <c r="K48" s="10" t="str">
        <f t="shared" si="0"/>
        <v/>
      </c>
      <c r="L48" s="11" t="str">
        <f t="shared" si="1"/>
        <v/>
      </c>
      <c r="M48" s="10" t="str">
        <f t="shared" si="2"/>
        <v/>
      </c>
      <c r="N48" s="11" t="str">
        <f t="shared" si="3"/>
        <v/>
      </c>
      <c r="O48" s="3"/>
      <c r="P48" s="3"/>
      <c r="Q48" s="12"/>
      <c r="R48" s="12"/>
      <c r="S48" s="12"/>
      <c r="T48" s="12"/>
      <c r="U48" s="12"/>
      <c r="V48" s="18"/>
      <c r="W48" s="10">
        <f t="shared" si="8"/>
        <v>0</v>
      </c>
      <c r="X48" s="11"/>
      <c r="Y48" s="11">
        <f t="shared" si="9"/>
        <v>0</v>
      </c>
      <c r="Z48" s="10">
        <f>IF(Inställningar!$B$5="",0,Inställningar!$B$5)</f>
        <v>850</v>
      </c>
      <c r="AA48" s="10">
        <f t="shared" si="10"/>
        <v>0</v>
      </c>
      <c r="AB48" s="4"/>
      <c r="AC48" s="13">
        <f>IF(Inställningar!$B$6="",0,Inställningar!$B$6)</f>
        <v>0.15</v>
      </c>
      <c r="AD48" s="10">
        <f t="shared" si="11"/>
        <v>0</v>
      </c>
      <c r="AE48" s="12"/>
    </row>
    <row r="49" spans="1:31">
      <c r="A49" s="7" t="s">
        <v>85</v>
      </c>
      <c r="B49" s="7"/>
      <c r="C49" s="7"/>
      <c r="D49" s="7"/>
      <c r="E49" s="7"/>
      <c r="F49" s="7"/>
      <c r="G49" s="8"/>
      <c r="H49" s="9"/>
      <c r="I49" s="7" t="s">
        <v>85</v>
      </c>
      <c r="J49" s="7" t="s">
        <v>85</v>
      </c>
      <c r="K49" s="10" t="str">
        <f t="shared" si="0"/>
        <v/>
      </c>
      <c r="L49" s="11" t="str">
        <f t="shared" si="1"/>
        <v/>
      </c>
      <c r="M49" s="10" t="str">
        <f t="shared" si="2"/>
        <v/>
      </c>
      <c r="N49" s="11" t="str">
        <f t="shared" si="3"/>
        <v/>
      </c>
      <c r="O49" s="3"/>
      <c r="P49" s="3"/>
      <c r="Q49" s="12"/>
      <c r="R49" s="12"/>
      <c r="S49" s="12"/>
      <c r="T49" s="12"/>
      <c r="U49" s="12"/>
      <c r="V49" s="18"/>
      <c r="W49" s="10">
        <f t="shared" si="8"/>
        <v>0</v>
      </c>
      <c r="X49" s="11"/>
      <c r="Y49" s="11">
        <f t="shared" si="9"/>
        <v>0</v>
      </c>
      <c r="Z49" s="10">
        <f>IF(Inställningar!$B$5="",0,Inställningar!$B$5)</f>
        <v>850</v>
      </c>
      <c r="AA49" s="10">
        <f t="shared" si="10"/>
        <v>0</v>
      </c>
      <c r="AB49" s="4"/>
      <c r="AC49" s="13">
        <f>IF(Inställningar!$B$6="",0,Inställningar!$B$6)</f>
        <v>0.15</v>
      </c>
      <c r="AD49" s="10">
        <f t="shared" si="11"/>
        <v>0</v>
      </c>
      <c r="AE49" s="12"/>
    </row>
    <row r="50" spans="1:31">
      <c r="A50" s="7" t="s">
        <v>85</v>
      </c>
      <c r="B50" s="7"/>
      <c r="C50" s="7"/>
      <c r="D50" s="7"/>
      <c r="E50" s="7"/>
      <c r="F50" s="7"/>
      <c r="G50" s="8"/>
      <c r="H50" s="9"/>
      <c r="I50" s="7" t="s">
        <v>85</v>
      </c>
      <c r="J50" s="7" t="s">
        <v>85</v>
      </c>
      <c r="K50" s="10" t="str">
        <f t="shared" si="0"/>
        <v/>
      </c>
      <c r="L50" s="11" t="str">
        <f t="shared" si="1"/>
        <v/>
      </c>
      <c r="M50" s="10" t="str">
        <f t="shared" si="2"/>
        <v/>
      </c>
      <c r="N50" s="11" t="str">
        <f t="shared" si="3"/>
        <v/>
      </c>
      <c r="O50" s="3"/>
      <c r="P50" s="3"/>
      <c r="Q50" s="12"/>
      <c r="R50" s="12"/>
      <c r="S50" s="12"/>
      <c r="T50" s="12"/>
      <c r="U50" s="12"/>
      <c r="V50" s="18"/>
      <c r="W50" s="10">
        <f t="shared" si="8"/>
        <v>0</v>
      </c>
      <c r="X50" s="11"/>
      <c r="Y50" s="11">
        <f t="shared" si="9"/>
        <v>0</v>
      </c>
      <c r="Z50" s="10">
        <f>IF(Inställningar!$B$5="",0,Inställningar!$B$5)</f>
        <v>850</v>
      </c>
      <c r="AA50" s="10">
        <f t="shared" si="10"/>
        <v>0</v>
      </c>
      <c r="AB50" s="4"/>
      <c r="AC50" s="13">
        <f>IF(Inställningar!$B$6="",0,Inställningar!$B$6)</f>
        <v>0.15</v>
      </c>
      <c r="AD50" s="10">
        <f t="shared" si="11"/>
        <v>0</v>
      </c>
      <c r="AE50" s="12"/>
    </row>
    <row r="51" spans="1:31">
      <c r="A51" s="7" t="s">
        <v>85</v>
      </c>
      <c r="B51" s="7"/>
      <c r="C51" s="7"/>
      <c r="D51" s="7"/>
      <c r="E51" s="7"/>
      <c r="F51" s="7"/>
      <c r="G51" s="8"/>
      <c r="H51" s="9"/>
      <c r="I51" s="7" t="s">
        <v>85</v>
      </c>
      <c r="J51" s="7" t="s">
        <v>85</v>
      </c>
      <c r="K51" s="10" t="str">
        <f t="shared" si="0"/>
        <v/>
      </c>
      <c r="L51" s="11" t="str">
        <f t="shared" si="1"/>
        <v/>
      </c>
      <c r="M51" s="10" t="str">
        <f t="shared" si="2"/>
        <v/>
      </c>
      <c r="N51" s="11" t="str">
        <f t="shared" si="3"/>
        <v/>
      </c>
      <c r="O51" s="3"/>
      <c r="P51" s="3"/>
      <c r="Q51" s="12"/>
      <c r="R51" s="12"/>
      <c r="S51" s="12"/>
      <c r="T51" s="12"/>
      <c r="U51" s="12"/>
      <c r="V51" s="18"/>
      <c r="W51" s="10">
        <f t="shared" si="8"/>
        <v>0</v>
      </c>
      <c r="X51" s="11"/>
      <c r="Y51" s="11">
        <f t="shared" si="9"/>
        <v>0</v>
      </c>
      <c r="Z51" s="10">
        <f>IF(Inställningar!$B$5="",0,Inställningar!$B$5)</f>
        <v>850</v>
      </c>
      <c r="AA51" s="10">
        <f t="shared" si="10"/>
        <v>0</v>
      </c>
      <c r="AB51" s="4"/>
      <c r="AC51" s="13">
        <f>IF(Inställningar!$B$6="",0,Inställningar!$B$6)</f>
        <v>0.15</v>
      </c>
      <c r="AD51" s="10">
        <f t="shared" si="11"/>
        <v>0</v>
      </c>
      <c r="AE51" s="12"/>
    </row>
    <row r="52" spans="1:3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12"/>
      <c r="R52" s="12"/>
      <c r="S52" s="12"/>
      <c r="T52" s="12"/>
      <c r="U52" s="12"/>
      <c r="V52" s="18"/>
      <c r="W52" s="10">
        <f t="shared" si="8"/>
        <v>0</v>
      </c>
      <c r="X52" s="11"/>
      <c r="Y52" s="11">
        <f t="shared" si="9"/>
        <v>0</v>
      </c>
      <c r="Z52" s="10">
        <f>IF(Inställningar!$B$5="",0,Inställningar!$B$5)</f>
        <v>850</v>
      </c>
      <c r="AA52" s="10">
        <f t="shared" si="10"/>
        <v>0</v>
      </c>
      <c r="AB52" s="4"/>
      <c r="AC52" s="13">
        <f>IF(Inställningar!$B$6="",0,Inställningar!$B$6)</f>
        <v>0.15</v>
      </c>
      <c r="AD52" s="10">
        <f t="shared" si="11"/>
        <v>0</v>
      </c>
      <c r="AE52" s="12"/>
    </row>
    <row r="53" spans="1:3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12"/>
      <c r="R53" s="12"/>
      <c r="S53" s="12"/>
      <c r="T53" s="12"/>
      <c r="U53" s="12"/>
      <c r="V53" s="18"/>
      <c r="W53" s="10">
        <f t="shared" si="8"/>
        <v>0</v>
      </c>
      <c r="X53" s="11"/>
      <c r="Y53" s="11">
        <f t="shared" si="9"/>
        <v>0</v>
      </c>
      <c r="Z53" s="10">
        <f>IF(Inställningar!$B$5="",0,Inställningar!$B$5)</f>
        <v>850</v>
      </c>
      <c r="AA53" s="10">
        <f t="shared" si="10"/>
        <v>0</v>
      </c>
      <c r="AB53" s="4"/>
      <c r="AC53" s="13">
        <f>IF(Inställningar!$B$6="",0,Inställningar!$B$6)</f>
        <v>0.15</v>
      </c>
      <c r="AD53" s="10">
        <f t="shared" si="11"/>
        <v>0</v>
      </c>
      <c r="AE53" s="12"/>
    </row>
    <row r="54" spans="1:3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12"/>
      <c r="R54" s="12"/>
      <c r="S54" s="12"/>
      <c r="T54" s="12"/>
      <c r="U54" s="12"/>
      <c r="V54" s="18"/>
      <c r="W54" s="10">
        <f t="shared" si="8"/>
        <v>0</v>
      </c>
      <c r="X54" s="11"/>
      <c r="Y54" s="11">
        <f t="shared" si="9"/>
        <v>0</v>
      </c>
      <c r="Z54" s="10">
        <f>IF(Inställningar!$B$5="",0,Inställningar!$B$5)</f>
        <v>850</v>
      </c>
      <c r="AA54" s="10">
        <f t="shared" si="10"/>
        <v>0</v>
      </c>
      <c r="AB54" s="4"/>
      <c r="AC54" s="13">
        <f>IF(Inställningar!$B$6="",0,Inställningar!$B$6)</f>
        <v>0.15</v>
      </c>
      <c r="AD54" s="10">
        <f t="shared" si="11"/>
        <v>0</v>
      </c>
      <c r="AE54" s="12"/>
    </row>
    <row r="55" spans="1:3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12"/>
      <c r="R55" s="12"/>
      <c r="S55" s="12"/>
      <c r="T55" s="12"/>
      <c r="U55" s="12"/>
      <c r="V55" s="18"/>
      <c r="W55" s="10">
        <f t="shared" si="8"/>
        <v>0</v>
      </c>
      <c r="X55" s="11"/>
      <c r="Y55" s="11">
        <f t="shared" si="9"/>
        <v>0</v>
      </c>
      <c r="Z55" s="10">
        <f>IF(Inställningar!$B$5="",0,Inställningar!$B$5)</f>
        <v>850</v>
      </c>
      <c r="AA55" s="10">
        <f t="shared" si="10"/>
        <v>0</v>
      </c>
      <c r="AB55" s="4"/>
      <c r="AC55" s="13">
        <f>IF(Inställningar!$B$6="",0,Inställningar!$B$6)</f>
        <v>0.15</v>
      </c>
      <c r="AD55" s="10">
        <f t="shared" si="11"/>
        <v>0</v>
      </c>
      <c r="AE55" s="12"/>
    </row>
    <row r="56" spans="1:3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12"/>
      <c r="R56" s="12"/>
      <c r="S56" s="12"/>
      <c r="T56" s="12"/>
      <c r="U56" s="12"/>
      <c r="V56" s="18"/>
      <c r="W56" s="10">
        <f t="shared" si="8"/>
        <v>0</v>
      </c>
      <c r="X56" s="11"/>
      <c r="Y56" s="11">
        <f t="shared" si="9"/>
        <v>0</v>
      </c>
      <c r="Z56" s="10">
        <f>IF(Inställningar!$B$5="",0,Inställningar!$B$5)</f>
        <v>850</v>
      </c>
      <c r="AA56" s="10">
        <f t="shared" si="10"/>
        <v>0</v>
      </c>
      <c r="AB56" s="4"/>
      <c r="AC56" s="13">
        <f>IF(Inställningar!$B$6="",0,Inställningar!$B$6)</f>
        <v>0.15</v>
      </c>
      <c r="AD56" s="10">
        <f t="shared" si="11"/>
        <v>0</v>
      </c>
      <c r="AE56" s="12"/>
    </row>
    <row r="57" spans="1:3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12"/>
      <c r="R57" s="12"/>
      <c r="S57" s="12"/>
      <c r="T57" s="12"/>
      <c r="U57" s="12"/>
      <c r="V57" s="18"/>
      <c r="W57" s="10">
        <f t="shared" si="8"/>
        <v>0</v>
      </c>
      <c r="X57" s="11"/>
      <c r="Y57" s="11">
        <f t="shared" si="9"/>
        <v>0</v>
      </c>
      <c r="Z57" s="10">
        <f>IF(Inställningar!$B$5="",0,Inställningar!$B$5)</f>
        <v>850</v>
      </c>
      <c r="AA57" s="10">
        <f t="shared" si="10"/>
        <v>0</v>
      </c>
      <c r="AB57" s="4"/>
      <c r="AC57" s="13">
        <f>IF(Inställningar!$B$6="",0,Inställningar!$B$6)</f>
        <v>0.15</v>
      </c>
      <c r="AD57" s="10">
        <f t="shared" si="11"/>
        <v>0</v>
      </c>
      <c r="AE57" s="12"/>
    </row>
    <row r="58" spans="1:3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12"/>
      <c r="R58" s="12"/>
      <c r="S58" s="12"/>
      <c r="T58" s="12"/>
      <c r="U58" s="12"/>
      <c r="V58" s="18"/>
      <c r="W58" s="10">
        <f t="shared" si="8"/>
        <v>0</v>
      </c>
      <c r="X58" s="11"/>
      <c r="Y58" s="11">
        <f t="shared" si="9"/>
        <v>0</v>
      </c>
      <c r="Z58" s="10">
        <f>IF(Inställningar!$B$5="",0,Inställningar!$B$5)</f>
        <v>850</v>
      </c>
      <c r="AA58" s="10">
        <f t="shared" si="10"/>
        <v>0</v>
      </c>
      <c r="AB58" s="4"/>
      <c r="AC58" s="13">
        <f>IF(Inställningar!$B$6="",0,Inställningar!$B$6)</f>
        <v>0.15</v>
      </c>
      <c r="AD58" s="10">
        <f t="shared" si="11"/>
        <v>0</v>
      </c>
      <c r="AE58" s="12"/>
    </row>
    <row r="59" spans="1:3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12"/>
      <c r="R59" s="12"/>
      <c r="S59" s="12"/>
      <c r="T59" s="12"/>
      <c r="U59" s="12"/>
      <c r="V59" s="18"/>
      <c r="W59" s="10">
        <f t="shared" si="8"/>
        <v>0</v>
      </c>
      <c r="X59" s="11"/>
      <c r="Y59" s="11">
        <f t="shared" si="9"/>
        <v>0</v>
      </c>
      <c r="Z59" s="10">
        <f>IF(Inställningar!$B$5="",0,Inställningar!$B$5)</f>
        <v>850</v>
      </c>
      <c r="AA59" s="10">
        <f t="shared" si="10"/>
        <v>0</v>
      </c>
      <c r="AB59" s="4"/>
      <c r="AC59" s="13">
        <f>IF(Inställningar!$B$6="",0,Inställningar!$B$6)</f>
        <v>0.15</v>
      </c>
      <c r="AD59" s="10">
        <f t="shared" si="11"/>
        <v>0</v>
      </c>
      <c r="AE59" s="12"/>
    </row>
    <row r="60" spans="1:3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12"/>
      <c r="R60" s="12"/>
      <c r="S60" s="12"/>
      <c r="T60" s="12"/>
      <c r="U60" s="12"/>
      <c r="V60" s="18"/>
      <c r="W60" s="10">
        <f t="shared" si="8"/>
        <v>0</v>
      </c>
      <c r="X60" s="11"/>
      <c r="Y60" s="11">
        <f t="shared" si="9"/>
        <v>0</v>
      </c>
      <c r="Z60" s="10">
        <f>IF(Inställningar!$B$5="",0,Inställningar!$B$5)</f>
        <v>850</v>
      </c>
      <c r="AA60" s="10">
        <f t="shared" si="10"/>
        <v>0</v>
      </c>
      <c r="AB60" s="4"/>
      <c r="AC60" s="13">
        <f>IF(Inställningar!$B$6="",0,Inställningar!$B$6)</f>
        <v>0.15</v>
      </c>
      <c r="AD60" s="10">
        <f t="shared" si="11"/>
        <v>0</v>
      </c>
      <c r="AE60" s="12"/>
    </row>
    <row r="61" spans="1:3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12"/>
      <c r="R61" s="12"/>
      <c r="S61" s="12"/>
      <c r="T61" s="12"/>
      <c r="U61" s="12"/>
      <c r="V61" s="18"/>
      <c r="W61" s="10">
        <f t="shared" si="8"/>
        <v>0</v>
      </c>
      <c r="X61" s="11"/>
      <c r="Y61" s="11">
        <f t="shared" si="9"/>
        <v>0</v>
      </c>
      <c r="Z61" s="10">
        <f>IF(Inställningar!$B$5="",0,Inställningar!$B$5)</f>
        <v>850</v>
      </c>
      <c r="AA61" s="10">
        <f t="shared" si="10"/>
        <v>0</v>
      </c>
      <c r="AB61" s="4"/>
      <c r="AC61" s="13">
        <f>IF(Inställningar!$B$6="",0,Inställningar!$B$6)</f>
        <v>0.15</v>
      </c>
      <c r="AD61" s="10">
        <f t="shared" si="11"/>
        <v>0</v>
      </c>
      <c r="AE61" s="12"/>
    </row>
    <row r="62" spans="1:3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12"/>
      <c r="R62" s="12"/>
      <c r="S62" s="12"/>
      <c r="T62" s="12"/>
      <c r="U62" s="12"/>
      <c r="V62" s="18"/>
      <c r="W62" s="10">
        <f t="shared" si="8"/>
        <v>0</v>
      </c>
      <c r="X62" s="11"/>
      <c r="Y62" s="11">
        <f t="shared" si="9"/>
        <v>0</v>
      </c>
      <c r="Z62" s="10">
        <f>IF(Inställningar!$B$5="",0,Inställningar!$B$5)</f>
        <v>850</v>
      </c>
      <c r="AA62" s="10">
        <f t="shared" si="10"/>
        <v>0</v>
      </c>
      <c r="AB62" s="4"/>
      <c r="AC62" s="13">
        <f>IF(Inställningar!$B$6="",0,Inställningar!$B$6)</f>
        <v>0.15</v>
      </c>
      <c r="AD62" s="10">
        <f t="shared" si="11"/>
        <v>0</v>
      </c>
      <c r="AE62" s="12"/>
    </row>
    <row r="63" spans="1:3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12"/>
      <c r="R63" s="12"/>
      <c r="S63" s="12"/>
      <c r="T63" s="12"/>
      <c r="U63" s="12"/>
      <c r="V63" s="18"/>
      <c r="W63" s="10">
        <f t="shared" si="8"/>
        <v>0</v>
      </c>
      <c r="X63" s="11"/>
      <c r="Y63" s="11">
        <f t="shared" si="9"/>
        <v>0</v>
      </c>
      <c r="Z63" s="10">
        <f>IF(Inställningar!$B$5="",0,Inställningar!$B$5)</f>
        <v>850</v>
      </c>
      <c r="AA63" s="10">
        <f t="shared" si="10"/>
        <v>0</v>
      </c>
      <c r="AB63" s="4"/>
      <c r="AC63" s="13">
        <f>IF(Inställningar!$B$6="",0,Inställningar!$B$6)</f>
        <v>0.15</v>
      </c>
      <c r="AD63" s="10">
        <f t="shared" si="11"/>
        <v>0</v>
      </c>
      <c r="AE63" s="12"/>
    </row>
    <row r="64" spans="1:3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12"/>
      <c r="R64" s="12"/>
      <c r="S64" s="12"/>
      <c r="T64" s="12"/>
      <c r="U64" s="12"/>
      <c r="V64" s="18"/>
      <c r="W64" s="10">
        <f t="shared" si="8"/>
        <v>0</v>
      </c>
      <c r="X64" s="11"/>
      <c r="Y64" s="11">
        <f t="shared" si="9"/>
        <v>0</v>
      </c>
      <c r="Z64" s="10">
        <f>IF(Inställningar!$B$5="",0,Inställningar!$B$5)</f>
        <v>850</v>
      </c>
      <c r="AA64" s="10">
        <f t="shared" si="10"/>
        <v>0</v>
      </c>
      <c r="AB64" s="4"/>
      <c r="AC64" s="13">
        <f>IF(Inställningar!$B$6="",0,Inställningar!$B$6)</f>
        <v>0.15</v>
      </c>
      <c r="AD64" s="10">
        <f t="shared" si="11"/>
        <v>0</v>
      </c>
      <c r="AE64" s="12"/>
    </row>
    <row r="65" spans="1:3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12"/>
      <c r="R65" s="12"/>
      <c r="S65" s="12"/>
      <c r="T65" s="12"/>
      <c r="U65" s="12"/>
      <c r="V65" s="18"/>
      <c r="W65" s="10">
        <f t="shared" si="8"/>
        <v>0</v>
      </c>
      <c r="X65" s="11"/>
      <c r="Y65" s="11">
        <f t="shared" si="9"/>
        <v>0</v>
      </c>
      <c r="Z65" s="10">
        <f>IF(Inställningar!$B$5="",0,Inställningar!$B$5)</f>
        <v>850</v>
      </c>
      <c r="AA65" s="10">
        <f t="shared" si="10"/>
        <v>0</v>
      </c>
      <c r="AB65" s="4"/>
      <c r="AC65" s="13">
        <f>IF(Inställningar!$B$6="",0,Inställningar!$B$6)</f>
        <v>0.15</v>
      </c>
      <c r="AD65" s="10">
        <f t="shared" si="11"/>
        <v>0</v>
      </c>
      <c r="AE65" s="12"/>
    </row>
    <row r="66" spans="1:3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12"/>
      <c r="R66" s="12"/>
      <c r="S66" s="12"/>
      <c r="T66" s="12"/>
      <c r="U66" s="12"/>
      <c r="V66" s="18"/>
      <c r="W66" s="10">
        <f t="shared" si="8"/>
        <v>0</v>
      </c>
      <c r="X66" s="11"/>
      <c r="Y66" s="11">
        <f t="shared" si="9"/>
        <v>0</v>
      </c>
      <c r="Z66" s="10">
        <f>IF(Inställningar!$B$5="",0,Inställningar!$B$5)</f>
        <v>850</v>
      </c>
      <c r="AA66" s="10">
        <f t="shared" si="10"/>
        <v>0</v>
      </c>
      <c r="AB66" s="4"/>
      <c r="AC66" s="13">
        <f>IF(Inställningar!$B$6="",0,Inställningar!$B$6)</f>
        <v>0.15</v>
      </c>
      <c r="AD66" s="10">
        <f t="shared" si="11"/>
        <v>0</v>
      </c>
      <c r="AE66" s="12"/>
    </row>
    <row r="67" spans="1:3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12"/>
      <c r="R67" s="12"/>
      <c r="S67" s="12"/>
      <c r="T67" s="12"/>
      <c r="U67" s="12"/>
      <c r="V67" s="18"/>
      <c r="W67" s="10">
        <f t="shared" si="8"/>
        <v>0</v>
      </c>
      <c r="X67" s="11"/>
      <c r="Y67" s="11">
        <f t="shared" si="9"/>
        <v>0</v>
      </c>
      <c r="Z67" s="10">
        <f>IF(Inställningar!$B$5="",0,Inställningar!$B$5)</f>
        <v>850</v>
      </c>
      <c r="AA67" s="10">
        <f t="shared" si="10"/>
        <v>0</v>
      </c>
      <c r="AB67" s="4"/>
      <c r="AC67" s="13">
        <f>IF(Inställningar!$B$6="",0,Inställningar!$B$6)</f>
        <v>0.15</v>
      </c>
      <c r="AD67" s="10">
        <f t="shared" si="11"/>
        <v>0</v>
      </c>
      <c r="AE67" s="12"/>
    </row>
    <row r="68" spans="1:3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12"/>
      <c r="R68" s="12"/>
      <c r="S68" s="12"/>
      <c r="T68" s="12"/>
      <c r="U68" s="12"/>
      <c r="V68" s="18"/>
      <c r="W68" s="10">
        <f t="shared" si="8"/>
        <v>0</v>
      </c>
      <c r="X68" s="11"/>
      <c r="Y68" s="11">
        <f t="shared" si="9"/>
        <v>0</v>
      </c>
      <c r="Z68" s="10">
        <f>IF(Inställningar!$B$5="",0,Inställningar!$B$5)</f>
        <v>850</v>
      </c>
      <c r="AA68" s="10">
        <f t="shared" si="10"/>
        <v>0</v>
      </c>
      <c r="AB68" s="4"/>
      <c r="AC68" s="13">
        <f>IF(Inställningar!$B$6="",0,Inställningar!$B$6)</f>
        <v>0.15</v>
      </c>
      <c r="AD68" s="10">
        <f t="shared" si="11"/>
        <v>0</v>
      </c>
      <c r="AE68" s="12"/>
    </row>
    <row r="69" spans="1:3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12"/>
      <c r="R69" s="12"/>
      <c r="S69" s="12"/>
      <c r="T69" s="12"/>
      <c r="U69" s="12"/>
      <c r="V69" s="18"/>
      <c r="W69" s="10">
        <f t="shared" si="8"/>
        <v>0</v>
      </c>
      <c r="X69" s="11"/>
      <c r="Y69" s="11">
        <f t="shared" si="9"/>
        <v>0</v>
      </c>
      <c r="Z69" s="10">
        <f>IF(Inställningar!$B$5="",0,Inställningar!$B$5)</f>
        <v>850</v>
      </c>
      <c r="AA69" s="10">
        <f t="shared" si="10"/>
        <v>0</v>
      </c>
      <c r="AB69" s="4"/>
      <c r="AC69" s="13">
        <f>IF(Inställningar!$B$6="",0,Inställningar!$B$6)</f>
        <v>0.15</v>
      </c>
      <c r="AD69" s="10">
        <f t="shared" si="11"/>
        <v>0</v>
      </c>
      <c r="AE69" s="12"/>
    </row>
    <row r="70" spans="1:3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2"/>
      <c r="R70" s="12"/>
      <c r="S70" s="12"/>
      <c r="T70" s="12"/>
      <c r="U70" s="12"/>
      <c r="V70" s="18"/>
      <c r="W70" s="10">
        <f t="shared" si="8"/>
        <v>0</v>
      </c>
      <c r="X70" s="11"/>
      <c r="Y70" s="11">
        <f t="shared" si="9"/>
        <v>0</v>
      </c>
      <c r="Z70" s="10">
        <f>IF(Inställningar!$B$5="",0,Inställningar!$B$5)</f>
        <v>850</v>
      </c>
      <c r="AA70" s="10">
        <f t="shared" si="10"/>
        <v>0</v>
      </c>
      <c r="AB70" s="4"/>
      <c r="AC70" s="13">
        <f>IF(Inställningar!$B$6="",0,Inställningar!$B$6)</f>
        <v>0.15</v>
      </c>
      <c r="AD70" s="10">
        <f t="shared" si="11"/>
        <v>0</v>
      </c>
      <c r="AE70" s="12"/>
    </row>
    <row r="71" spans="1:3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12"/>
      <c r="R71" s="12"/>
      <c r="S71" s="12"/>
      <c r="T71" s="12"/>
      <c r="U71" s="12"/>
      <c r="V71" s="18"/>
      <c r="W71" s="10">
        <f t="shared" ref="W71:W102" si="12">IF(OR(T71="",V71=""),0,T71*V71)</f>
        <v>0</v>
      </c>
      <c r="X71" s="11"/>
      <c r="Y71" s="11">
        <f t="shared" ref="Y71:Y102" si="13">IF(OR(T71="",X71=""),0,T71*X71)</f>
        <v>0</v>
      </c>
      <c r="Z71" s="10">
        <f>IF(Inställningar!$B$5="",0,Inställningar!$B$5)</f>
        <v>850</v>
      </c>
      <c r="AA71" s="10">
        <f t="shared" ref="AA71:AA102" si="14">Y71*Z71</f>
        <v>0</v>
      </c>
      <c r="AB71" s="4"/>
      <c r="AC71" s="13">
        <f>IF(Inställningar!$B$6="",0,Inställningar!$B$6)</f>
        <v>0.15</v>
      </c>
      <c r="AD71" s="10">
        <f t="shared" ref="AD71:AD102" si="15">ROUND((W71+AA71+IF(AB71="",0,AB71))*(1+AC71),0)</f>
        <v>0</v>
      </c>
      <c r="AE71" s="12"/>
    </row>
    <row r="72" spans="1:3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12"/>
      <c r="R72" s="12"/>
      <c r="S72" s="12"/>
      <c r="T72" s="12"/>
      <c r="U72" s="12"/>
      <c r="V72" s="18"/>
      <c r="W72" s="10">
        <f t="shared" si="12"/>
        <v>0</v>
      </c>
      <c r="X72" s="11"/>
      <c r="Y72" s="11">
        <f t="shared" si="13"/>
        <v>0</v>
      </c>
      <c r="Z72" s="10">
        <f>IF(Inställningar!$B$5="",0,Inställningar!$B$5)</f>
        <v>850</v>
      </c>
      <c r="AA72" s="10">
        <f t="shared" si="14"/>
        <v>0</v>
      </c>
      <c r="AB72" s="4"/>
      <c r="AC72" s="13">
        <f>IF(Inställningar!$B$6="",0,Inställningar!$B$6)</f>
        <v>0.15</v>
      </c>
      <c r="AD72" s="10">
        <f t="shared" si="15"/>
        <v>0</v>
      </c>
      <c r="AE72" s="12"/>
    </row>
    <row r="73" spans="1:3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12"/>
      <c r="R73" s="12"/>
      <c r="S73" s="12"/>
      <c r="T73" s="12"/>
      <c r="U73" s="12"/>
      <c r="V73" s="18"/>
      <c r="W73" s="10">
        <f t="shared" si="12"/>
        <v>0</v>
      </c>
      <c r="X73" s="11"/>
      <c r="Y73" s="11">
        <f t="shared" si="13"/>
        <v>0</v>
      </c>
      <c r="Z73" s="10">
        <f>IF(Inställningar!$B$5="",0,Inställningar!$B$5)</f>
        <v>850</v>
      </c>
      <c r="AA73" s="10">
        <f t="shared" si="14"/>
        <v>0</v>
      </c>
      <c r="AB73" s="4"/>
      <c r="AC73" s="13">
        <f>IF(Inställningar!$B$6="",0,Inställningar!$B$6)</f>
        <v>0.15</v>
      </c>
      <c r="AD73" s="10">
        <f t="shared" si="15"/>
        <v>0</v>
      </c>
      <c r="AE73" s="12"/>
    </row>
    <row r="74" spans="1:3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12"/>
      <c r="R74" s="12"/>
      <c r="S74" s="12"/>
      <c r="T74" s="12"/>
      <c r="U74" s="12"/>
      <c r="V74" s="18"/>
      <c r="W74" s="10">
        <f t="shared" si="12"/>
        <v>0</v>
      </c>
      <c r="X74" s="11"/>
      <c r="Y74" s="11">
        <f t="shared" si="13"/>
        <v>0</v>
      </c>
      <c r="Z74" s="10">
        <f>IF(Inställningar!$B$5="",0,Inställningar!$B$5)</f>
        <v>850</v>
      </c>
      <c r="AA74" s="10">
        <f t="shared" si="14"/>
        <v>0</v>
      </c>
      <c r="AB74" s="4"/>
      <c r="AC74" s="13">
        <f>IF(Inställningar!$B$6="",0,Inställningar!$B$6)</f>
        <v>0.15</v>
      </c>
      <c r="AD74" s="10">
        <f t="shared" si="15"/>
        <v>0</v>
      </c>
      <c r="AE74" s="12"/>
    </row>
    <row r="75" spans="1:3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12"/>
      <c r="R75" s="12"/>
      <c r="S75" s="12"/>
      <c r="T75" s="12"/>
      <c r="U75" s="12"/>
      <c r="V75" s="18"/>
      <c r="W75" s="10">
        <f t="shared" si="12"/>
        <v>0</v>
      </c>
      <c r="X75" s="11"/>
      <c r="Y75" s="11">
        <f t="shared" si="13"/>
        <v>0</v>
      </c>
      <c r="Z75" s="10">
        <f>IF(Inställningar!$B$5="",0,Inställningar!$B$5)</f>
        <v>850</v>
      </c>
      <c r="AA75" s="10">
        <f t="shared" si="14"/>
        <v>0</v>
      </c>
      <c r="AB75" s="4"/>
      <c r="AC75" s="13">
        <f>IF(Inställningar!$B$6="",0,Inställningar!$B$6)</f>
        <v>0.15</v>
      </c>
      <c r="AD75" s="10">
        <f t="shared" si="15"/>
        <v>0</v>
      </c>
      <c r="AE75" s="12"/>
    </row>
    <row r="76" spans="1:3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12"/>
      <c r="R76" s="12"/>
      <c r="S76" s="12"/>
      <c r="T76" s="12"/>
      <c r="U76" s="12"/>
      <c r="V76" s="18"/>
      <c r="W76" s="10">
        <f t="shared" si="12"/>
        <v>0</v>
      </c>
      <c r="X76" s="11"/>
      <c r="Y76" s="11">
        <f t="shared" si="13"/>
        <v>0</v>
      </c>
      <c r="Z76" s="10">
        <f>IF(Inställningar!$B$5="",0,Inställningar!$B$5)</f>
        <v>850</v>
      </c>
      <c r="AA76" s="10">
        <f t="shared" si="14"/>
        <v>0</v>
      </c>
      <c r="AB76" s="4"/>
      <c r="AC76" s="13">
        <f>IF(Inställningar!$B$6="",0,Inställningar!$B$6)</f>
        <v>0.15</v>
      </c>
      <c r="AD76" s="10">
        <f t="shared" si="15"/>
        <v>0</v>
      </c>
      <c r="AE76" s="12"/>
    </row>
    <row r="77" spans="1:3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12"/>
      <c r="R77" s="12"/>
      <c r="S77" s="12"/>
      <c r="T77" s="12"/>
      <c r="U77" s="12"/>
      <c r="V77" s="18"/>
      <c r="W77" s="10">
        <f t="shared" si="12"/>
        <v>0</v>
      </c>
      <c r="X77" s="11"/>
      <c r="Y77" s="11">
        <f t="shared" si="13"/>
        <v>0</v>
      </c>
      <c r="Z77" s="10">
        <f>IF(Inställningar!$B$5="",0,Inställningar!$B$5)</f>
        <v>850</v>
      </c>
      <c r="AA77" s="10">
        <f t="shared" si="14"/>
        <v>0</v>
      </c>
      <c r="AB77" s="4"/>
      <c r="AC77" s="13">
        <f>IF(Inställningar!$B$6="",0,Inställningar!$B$6)</f>
        <v>0.15</v>
      </c>
      <c r="AD77" s="10">
        <f t="shared" si="15"/>
        <v>0</v>
      </c>
      <c r="AE77" s="12"/>
    </row>
    <row r="78" spans="1:3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12"/>
      <c r="R78" s="12"/>
      <c r="S78" s="12"/>
      <c r="T78" s="12"/>
      <c r="U78" s="12"/>
      <c r="V78" s="18"/>
      <c r="W78" s="10">
        <f t="shared" si="12"/>
        <v>0</v>
      </c>
      <c r="X78" s="11"/>
      <c r="Y78" s="11">
        <f t="shared" si="13"/>
        <v>0</v>
      </c>
      <c r="Z78" s="10">
        <f>IF(Inställningar!$B$5="",0,Inställningar!$B$5)</f>
        <v>850</v>
      </c>
      <c r="AA78" s="10">
        <f t="shared" si="14"/>
        <v>0</v>
      </c>
      <c r="AB78" s="4"/>
      <c r="AC78" s="13">
        <f>IF(Inställningar!$B$6="",0,Inställningar!$B$6)</f>
        <v>0.15</v>
      </c>
      <c r="AD78" s="10">
        <f t="shared" si="15"/>
        <v>0</v>
      </c>
      <c r="AE78" s="12"/>
    </row>
    <row r="79" spans="1:3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12"/>
      <c r="R79" s="12"/>
      <c r="S79" s="12"/>
      <c r="T79" s="12"/>
      <c r="U79" s="12"/>
      <c r="V79" s="18"/>
      <c r="W79" s="10">
        <f t="shared" si="12"/>
        <v>0</v>
      </c>
      <c r="X79" s="11"/>
      <c r="Y79" s="11">
        <f t="shared" si="13"/>
        <v>0</v>
      </c>
      <c r="Z79" s="10">
        <f>IF(Inställningar!$B$5="",0,Inställningar!$B$5)</f>
        <v>850</v>
      </c>
      <c r="AA79" s="10">
        <f t="shared" si="14"/>
        <v>0</v>
      </c>
      <c r="AB79" s="4"/>
      <c r="AC79" s="13">
        <f>IF(Inställningar!$B$6="",0,Inställningar!$B$6)</f>
        <v>0.15</v>
      </c>
      <c r="AD79" s="10">
        <f t="shared" si="15"/>
        <v>0</v>
      </c>
      <c r="AE79" s="12"/>
    </row>
    <row r="80" spans="1:3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12"/>
      <c r="R80" s="12"/>
      <c r="S80" s="12"/>
      <c r="T80" s="12"/>
      <c r="U80" s="12"/>
      <c r="V80" s="18"/>
      <c r="W80" s="10">
        <f t="shared" si="12"/>
        <v>0</v>
      </c>
      <c r="X80" s="11"/>
      <c r="Y80" s="11">
        <f t="shared" si="13"/>
        <v>0</v>
      </c>
      <c r="Z80" s="10">
        <f>IF(Inställningar!$B$5="",0,Inställningar!$B$5)</f>
        <v>850</v>
      </c>
      <c r="AA80" s="10">
        <f t="shared" si="14"/>
        <v>0</v>
      </c>
      <c r="AB80" s="4"/>
      <c r="AC80" s="13">
        <f>IF(Inställningar!$B$6="",0,Inställningar!$B$6)</f>
        <v>0.15</v>
      </c>
      <c r="AD80" s="10">
        <f t="shared" si="15"/>
        <v>0</v>
      </c>
      <c r="AE80" s="12"/>
    </row>
    <row r="81" spans="1:3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12"/>
      <c r="R81" s="12"/>
      <c r="S81" s="12"/>
      <c r="T81" s="12"/>
      <c r="U81" s="12"/>
      <c r="V81" s="18"/>
      <c r="W81" s="10">
        <f t="shared" si="12"/>
        <v>0</v>
      </c>
      <c r="X81" s="11"/>
      <c r="Y81" s="11">
        <f t="shared" si="13"/>
        <v>0</v>
      </c>
      <c r="Z81" s="10">
        <f>IF(Inställningar!$B$5="",0,Inställningar!$B$5)</f>
        <v>850</v>
      </c>
      <c r="AA81" s="10">
        <f t="shared" si="14"/>
        <v>0</v>
      </c>
      <c r="AB81" s="4"/>
      <c r="AC81" s="13">
        <f>IF(Inställningar!$B$6="",0,Inställningar!$B$6)</f>
        <v>0.15</v>
      </c>
      <c r="AD81" s="10">
        <f t="shared" si="15"/>
        <v>0</v>
      </c>
      <c r="AE81" s="12"/>
    </row>
    <row r="82" spans="1:3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12"/>
      <c r="R82" s="12"/>
      <c r="S82" s="12"/>
      <c r="T82" s="12"/>
      <c r="U82" s="12"/>
      <c r="V82" s="18"/>
      <c r="W82" s="10">
        <f t="shared" si="12"/>
        <v>0</v>
      </c>
      <c r="X82" s="11"/>
      <c r="Y82" s="11">
        <f t="shared" si="13"/>
        <v>0</v>
      </c>
      <c r="Z82" s="10">
        <f>IF(Inställningar!$B$5="",0,Inställningar!$B$5)</f>
        <v>850</v>
      </c>
      <c r="AA82" s="10">
        <f t="shared" si="14"/>
        <v>0</v>
      </c>
      <c r="AB82" s="4"/>
      <c r="AC82" s="13">
        <f>IF(Inställningar!$B$6="",0,Inställningar!$B$6)</f>
        <v>0.15</v>
      </c>
      <c r="AD82" s="10">
        <f t="shared" si="15"/>
        <v>0</v>
      </c>
      <c r="AE82" s="12"/>
    </row>
    <row r="83" spans="1:3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12"/>
      <c r="R83" s="12"/>
      <c r="S83" s="12"/>
      <c r="T83" s="12"/>
      <c r="U83" s="12"/>
      <c r="V83" s="18"/>
      <c r="W83" s="10">
        <f t="shared" si="12"/>
        <v>0</v>
      </c>
      <c r="X83" s="11"/>
      <c r="Y83" s="11">
        <f t="shared" si="13"/>
        <v>0</v>
      </c>
      <c r="Z83" s="10">
        <f>IF(Inställningar!$B$5="",0,Inställningar!$B$5)</f>
        <v>850</v>
      </c>
      <c r="AA83" s="10">
        <f t="shared" si="14"/>
        <v>0</v>
      </c>
      <c r="AB83" s="4"/>
      <c r="AC83" s="13">
        <f>IF(Inställningar!$B$6="",0,Inställningar!$B$6)</f>
        <v>0.15</v>
      </c>
      <c r="AD83" s="10">
        <f t="shared" si="15"/>
        <v>0</v>
      </c>
      <c r="AE83" s="12"/>
    </row>
    <row r="84" spans="1:3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12"/>
      <c r="R84" s="12"/>
      <c r="S84" s="12"/>
      <c r="T84" s="12"/>
      <c r="U84" s="12"/>
      <c r="V84" s="18"/>
      <c r="W84" s="10">
        <f t="shared" si="12"/>
        <v>0</v>
      </c>
      <c r="X84" s="11"/>
      <c r="Y84" s="11">
        <f t="shared" si="13"/>
        <v>0</v>
      </c>
      <c r="Z84" s="10">
        <f>IF(Inställningar!$B$5="",0,Inställningar!$B$5)</f>
        <v>850</v>
      </c>
      <c r="AA84" s="10">
        <f t="shared" si="14"/>
        <v>0</v>
      </c>
      <c r="AB84" s="4"/>
      <c r="AC84" s="13">
        <f>IF(Inställningar!$B$6="",0,Inställningar!$B$6)</f>
        <v>0.15</v>
      </c>
      <c r="AD84" s="10">
        <f t="shared" si="15"/>
        <v>0</v>
      </c>
      <c r="AE84" s="12"/>
    </row>
    <row r="85" spans="1:3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12"/>
      <c r="R85" s="12"/>
      <c r="S85" s="12"/>
      <c r="T85" s="12"/>
      <c r="U85" s="12"/>
      <c r="V85" s="18"/>
      <c r="W85" s="10">
        <f t="shared" si="12"/>
        <v>0</v>
      </c>
      <c r="X85" s="11"/>
      <c r="Y85" s="11">
        <f t="shared" si="13"/>
        <v>0</v>
      </c>
      <c r="Z85" s="10">
        <f>IF(Inställningar!$B$5="",0,Inställningar!$B$5)</f>
        <v>850</v>
      </c>
      <c r="AA85" s="10">
        <f t="shared" si="14"/>
        <v>0</v>
      </c>
      <c r="AB85" s="4"/>
      <c r="AC85" s="13">
        <f>IF(Inställningar!$B$6="",0,Inställningar!$B$6)</f>
        <v>0.15</v>
      </c>
      <c r="AD85" s="10">
        <f t="shared" si="15"/>
        <v>0</v>
      </c>
      <c r="AE85" s="12"/>
    </row>
    <row r="86" spans="1:3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12"/>
      <c r="R86" s="12"/>
      <c r="S86" s="12"/>
      <c r="T86" s="12"/>
      <c r="U86" s="12"/>
      <c r="V86" s="18"/>
      <c r="W86" s="10">
        <f t="shared" si="12"/>
        <v>0</v>
      </c>
      <c r="X86" s="11"/>
      <c r="Y86" s="11">
        <f t="shared" si="13"/>
        <v>0</v>
      </c>
      <c r="Z86" s="10">
        <f>IF(Inställningar!$B$5="",0,Inställningar!$B$5)</f>
        <v>850</v>
      </c>
      <c r="AA86" s="10">
        <f t="shared" si="14"/>
        <v>0</v>
      </c>
      <c r="AB86" s="4"/>
      <c r="AC86" s="13">
        <f>IF(Inställningar!$B$6="",0,Inställningar!$B$6)</f>
        <v>0.15</v>
      </c>
      <c r="AD86" s="10">
        <f t="shared" si="15"/>
        <v>0</v>
      </c>
      <c r="AE86" s="12"/>
    </row>
    <row r="87" spans="1:3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12"/>
      <c r="R87" s="12"/>
      <c r="S87" s="12"/>
      <c r="T87" s="12"/>
      <c r="U87" s="12"/>
      <c r="V87" s="18"/>
      <c r="W87" s="10">
        <f t="shared" si="12"/>
        <v>0</v>
      </c>
      <c r="X87" s="11"/>
      <c r="Y87" s="11">
        <f t="shared" si="13"/>
        <v>0</v>
      </c>
      <c r="Z87" s="10">
        <f>IF(Inställningar!$B$5="",0,Inställningar!$B$5)</f>
        <v>850</v>
      </c>
      <c r="AA87" s="10">
        <f t="shared" si="14"/>
        <v>0</v>
      </c>
      <c r="AB87" s="4"/>
      <c r="AC87" s="13">
        <f>IF(Inställningar!$B$6="",0,Inställningar!$B$6)</f>
        <v>0.15</v>
      </c>
      <c r="AD87" s="10">
        <f t="shared" si="15"/>
        <v>0</v>
      </c>
      <c r="AE87" s="12"/>
    </row>
    <row r="88" spans="1:3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2"/>
      <c r="R88" s="12"/>
      <c r="S88" s="12"/>
      <c r="T88" s="12"/>
      <c r="U88" s="12"/>
      <c r="V88" s="18"/>
      <c r="W88" s="10">
        <f t="shared" si="12"/>
        <v>0</v>
      </c>
      <c r="X88" s="11"/>
      <c r="Y88" s="11">
        <f t="shared" si="13"/>
        <v>0</v>
      </c>
      <c r="Z88" s="10">
        <f>IF(Inställningar!$B$5="",0,Inställningar!$B$5)</f>
        <v>850</v>
      </c>
      <c r="AA88" s="10">
        <f t="shared" si="14"/>
        <v>0</v>
      </c>
      <c r="AB88" s="4"/>
      <c r="AC88" s="13">
        <f>IF(Inställningar!$B$6="",0,Inställningar!$B$6)</f>
        <v>0.15</v>
      </c>
      <c r="AD88" s="10">
        <f t="shared" si="15"/>
        <v>0</v>
      </c>
      <c r="AE88" s="12"/>
    </row>
    <row r="89" spans="1:3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2"/>
      <c r="R89" s="12"/>
      <c r="S89" s="12"/>
      <c r="T89" s="12"/>
      <c r="U89" s="12"/>
      <c r="V89" s="18"/>
      <c r="W89" s="10">
        <f t="shared" si="12"/>
        <v>0</v>
      </c>
      <c r="X89" s="11"/>
      <c r="Y89" s="11">
        <f t="shared" si="13"/>
        <v>0</v>
      </c>
      <c r="Z89" s="10">
        <f>IF(Inställningar!$B$5="",0,Inställningar!$B$5)</f>
        <v>850</v>
      </c>
      <c r="AA89" s="10">
        <f t="shared" si="14"/>
        <v>0</v>
      </c>
      <c r="AB89" s="4"/>
      <c r="AC89" s="13">
        <f>IF(Inställningar!$B$6="",0,Inställningar!$B$6)</f>
        <v>0.15</v>
      </c>
      <c r="AD89" s="10">
        <f t="shared" si="15"/>
        <v>0</v>
      </c>
      <c r="AE89" s="12"/>
    </row>
    <row r="90" spans="1:3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12"/>
      <c r="R90" s="12"/>
      <c r="S90" s="12"/>
      <c r="T90" s="12"/>
      <c r="U90" s="12"/>
      <c r="V90" s="18"/>
      <c r="W90" s="10">
        <f t="shared" si="12"/>
        <v>0</v>
      </c>
      <c r="X90" s="11"/>
      <c r="Y90" s="11">
        <f t="shared" si="13"/>
        <v>0</v>
      </c>
      <c r="Z90" s="10">
        <f>IF(Inställningar!$B$5="",0,Inställningar!$B$5)</f>
        <v>850</v>
      </c>
      <c r="AA90" s="10">
        <f t="shared" si="14"/>
        <v>0</v>
      </c>
      <c r="AB90" s="4"/>
      <c r="AC90" s="13">
        <f>IF(Inställningar!$B$6="",0,Inställningar!$B$6)</f>
        <v>0.15</v>
      </c>
      <c r="AD90" s="10">
        <f t="shared" si="15"/>
        <v>0</v>
      </c>
      <c r="AE90" s="12"/>
    </row>
    <row r="91" spans="1:3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12"/>
      <c r="R91" s="12"/>
      <c r="S91" s="12"/>
      <c r="T91" s="12"/>
      <c r="U91" s="12"/>
      <c r="V91" s="18"/>
      <c r="W91" s="10">
        <f t="shared" si="12"/>
        <v>0</v>
      </c>
      <c r="X91" s="11"/>
      <c r="Y91" s="11">
        <f t="shared" si="13"/>
        <v>0</v>
      </c>
      <c r="Z91" s="10">
        <f>IF(Inställningar!$B$5="",0,Inställningar!$B$5)</f>
        <v>850</v>
      </c>
      <c r="AA91" s="10">
        <f t="shared" si="14"/>
        <v>0</v>
      </c>
      <c r="AB91" s="4"/>
      <c r="AC91" s="13">
        <f>IF(Inställningar!$B$6="",0,Inställningar!$B$6)</f>
        <v>0.15</v>
      </c>
      <c r="AD91" s="10">
        <f t="shared" si="15"/>
        <v>0</v>
      </c>
      <c r="AE91" s="12"/>
    </row>
    <row r="92" spans="1:3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12"/>
      <c r="R92" s="12"/>
      <c r="S92" s="12"/>
      <c r="T92" s="12"/>
      <c r="U92" s="12"/>
      <c r="V92" s="18"/>
      <c r="W92" s="10">
        <f t="shared" si="12"/>
        <v>0</v>
      </c>
      <c r="X92" s="11"/>
      <c r="Y92" s="11">
        <f t="shared" si="13"/>
        <v>0</v>
      </c>
      <c r="Z92" s="10">
        <f>IF(Inställningar!$B$5="",0,Inställningar!$B$5)</f>
        <v>850</v>
      </c>
      <c r="AA92" s="10">
        <f t="shared" si="14"/>
        <v>0</v>
      </c>
      <c r="AB92" s="4"/>
      <c r="AC92" s="13">
        <f>IF(Inställningar!$B$6="",0,Inställningar!$B$6)</f>
        <v>0.15</v>
      </c>
      <c r="AD92" s="10">
        <f t="shared" si="15"/>
        <v>0</v>
      </c>
      <c r="AE92" s="12"/>
    </row>
    <row r="93" spans="1:3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12"/>
      <c r="R93" s="12"/>
      <c r="S93" s="12"/>
      <c r="T93" s="12"/>
      <c r="U93" s="12"/>
      <c r="V93" s="18"/>
      <c r="W93" s="10">
        <f t="shared" si="12"/>
        <v>0</v>
      </c>
      <c r="X93" s="11"/>
      <c r="Y93" s="11">
        <f t="shared" si="13"/>
        <v>0</v>
      </c>
      <c r="Z93" s="10">
        <f>IF(Inställningar!$B$5="",0,Inställningar!$B$5)</f>
        <v>850</v>
      </c>
      <c r="AA93" s="10">
        <f t="shared" si="14"/>
        <v>0</v>
      </c>
      <c r="AB93" s="4"/>
      <c r="AC93" s="13">
        <f>IF(Inställningar!$B$6="",0,Inställningar!$B$6)</f>
        <v>0.15</v>
      </c>
      <c r="AD93" s="10">
        <f t="shared" si="15"/>
        <v>0</v>
      </c>
      <c r="AE93" s="12"/>
    </row>
    <row r="94" spans="1:3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12"/>
      <c r="R94" s="12"/>
      <c r="S94" s="12"/>
      <c r="T94" s="12"/>
      <c r="U94" s="12"/>
      <c r="V94" s="18"/>
      <c r="W94" s="10">
        <f t="shared" si="12"/>
        <v>0</v>
      </c>
      <c r="X94" s="11"/>
      <c r="Y94" s="11">
        <f t="shared" si="13"/>
        <v>0</v>
      </c>
      <c r="Z94" s="10">
        <f>IF(Inställningar!$B$5="",0,Inställningar!$B$5)</f>
        <v>850</v>
      </c>
      <c r="AA94" s="10">
        <f t="shared" si="14"/>
        <v>0</v>
      </c>
      <c r="AB94" s="4"/>
      <c r="AC94" s="13">
        <f>IF(Inställningar!$B$6="",0,Inställningar!$B$6)</f>
        <v>0.15</v>
      </c>
      <c r="AD94" s="10">
        <f t="shared" si="15"/>
        <v>0</v>
      </c>
      <c r="AE94" s="12"/>
    </row>
    <row r="95" spans="1:3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12"/>
      <c r="R95" s="12"/>
      <c r="S95" s="12"/>
      <c r="T95" s="12"/>
      <c r="U95" s="12"/>
      <c r="V95" s="18"/>
      <c r="W95" s="10">
        <f t="shared" si="12"/>
        <v>0</v>
      </c>
      <c r="X95" s="11"/>
      <c r="Y95" s="11">
        <f t="shared" si="13"/>
        <v>0</v>
      </c>
      <c r="Z95" s="10">
        <f>IF(Inställningar!$B$5="",0,Inställningar!$B$5)</f>
        <v>850</v>
      </c>
      <c r="AA95" s="10">
        <f t="shared" si="14"/>
        <v>0</v>
      </c>
      <c r="AB95" s="4"/>
      <c r="AC95" s="13">
        <f>IF(Inställningar!$B$6="",0,Inställningar!$B$6)</f>
        <v>0.15</v>
      </c>
      <c r="AD95" s="10">
        <f t="shared" si="15"/>
        <v>0</v>
      </c>
      <c r="AE95" s="12"/>
    </row>
    <row r="96" spans="1:3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12"/>
      <c r="R96" s="12"/>
      <c r="S96" s="12"/>
      <c r="T96" s="12"/>
      <c r="U96" s="12"/>
      <c r="V96" s="18"/>
      <c r="W96" s="10">
        <f t="shared" si="12"/>
        <v>0</v>
      </c>
      <c r="X96" s="11"/>
      <c r="Y96" s="11">
        <f t="shared" si="13"/>
        <v>0</v>
      </c>
      <c r="Z96" s="10">
        <f>IF(Inställningar!$B$5="",0,Inställningar!$B$5)</f>
        <v>850</v>
      </c>
      <c r="AA96" s="10">
        <f t="shared" si="14"/>
        <v>0</v>
      </c>
      <c r="AB96" s="4"/>
      <c r="AC96" s="13">
        <f>IF(Inställningar!$B$6="",0,Inställningar!$B$6)</f>
        <v>0.15</v>
      </c>
      <c r="AD96" s="10">
        <f t="shared" si="15"/>
        <v>0</v>
      </c>
      <c r="AE96" s="12"/>
    </row>
    <row r="97" spans="1:3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2"/>
      <c r="R97" s="12"/>
      <c r="S97" s="12"/>
      <c r="T97" s="12"/>
      <c r="U97" s="12"/>
      <c r="V97" s="18"/>
      <c r="W97" s="10">
        <f t="shared" si="12"/>
        <v>0</v>
      </c>
      <c r="X97" s="11"/>
      <c r="Y97" s="11">
        <f t="shared" si="13"/>
        <v>0</v>
      </c>
      <c r="Z97" s="10">
        <f>IF(Inställningar!$B$5="",0,Inställningar!$B$5)</f>
        <v>850</v>
      </c>
      <c r="AA97" s="10">
        <f t="shared" si="14"/>
        <v>0</v>
      </c>
      <c r="AB97" s="4"/>
      <c r="AC97" s="13">
        <f>IF(Inställningar!$B$6="",0,Inställningar!$B$6)</f>
        <v>0.15</v>
      </c>
      <c r="AD97" s="10">
        <f t="shared" si="15"/>
        <v>0</v>
      </c>
      <c r="AE97" s="12"/>
    </row>
    <row r="98" spans="1:3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12"/>
      <c r="R98" s="12"/>
      <c r="S98" s="12"/>
      <c r="T98" s="12"/>
      <c r="U98" s="12"/>
      <c r="V98" s="18"/>
      <c r="W98" s="10">
        <f t="shared" si="12"/>
        <v>0</v>
      </c>
      <c r="X98" s="11"/>
      <c r="Y98" s="11">
        <f t="shared" si="13"/>
        <v>0</v>
      </c>
      <c r="Z98" s="10">
        <f>IF(Inställningar!$B$5="",0,Inställningar!$B$5)</f>
        <v>850</v>
      </c>
      <c r="AA98" s="10">
        <f t="shared" si="14"/>
        <v>0</v>
      </c>
      <c r="AB98" s="4"/>
      <c r="AC98" s="13">
        <f>IF(Inställningar!$B$6="",0,Inställningar!$B$6)</f>
        <v>0.15</v>
      </c>
      <c r="AD98" s="10">
        <f t="shared" si="15"/>
        <v>0</v>
      </c>
      <c r="AE98" s="12"/>
    </row>
    <row r="99" spans="1:3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2"/>
      <c r="R99" s="12"/>
      <c r="S99" s="12"/>
      <c r="T99" s="12"/>
      <c r="U99" s="12"/>
      <c r="V99" s="18"/>
      <c r="W99" s="10">
        <f t="shared" si="12"/>
        <v>0</v>
      </c>
      <c r="X99" s="11"/>
      <c r="Y99" s="11">
        <f t="shared" si="13"/>
        <v>0</v>
      </c>
      <c r="Z99" s="10">
        <f>IF(Inställningar!$B$5="",0,Inställningar!$B$5)</f>
        <v>850</v>
      </c>
      <c r="AA99" s="10">
        <f t="shared" si="14"/>
        <v>0</v>
      </c>
      <c r="AB99" s="4"/>
      <c r="AC99" s="13">
        <f>IF(Inställningar!$B$6="",0,Inställningar!$B$6)</f>
        <v>0.15</v>
      </c>
      <c r="AD99" s="10">
        <f t="shared" si="15"/>
        <v>0</v>
      </c>
      <c r="AE99" s="12"/>
    </row>
    <row r="100" spans="1:3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2"/>
      <c r="R100" s="12"/>
      <c r="S100" s="12"/>
      <c r="T100" s="12"/>
      <c r="U100" s="12"/>
      <c r="V100" s="18"/>
      <c r="W100" s="10">
        <f t="shared" si="12"/>
        <v>0</v>
      </c>
      <c r="X100" s="11"/>
      <c r="Y100" s="11">
        <f t="shared" si="13"/>
        <v>0</v>
      </c>
      <c r="Z100" s="10">
        <f>IF(Inställningar!$B$5="",0,Inställningar!$B$5)</f>
        <v>850</v>
      </c>
      <c r="AA100" s="10">
        <f t="shared" si="14"/>
        <v>0</v>
      </c>
      <c r="AB100" s="4"/>
      <c r="AC100" s="13">
        <f>IF(Inställningar!$B$6="",0,Inställningar!$B$6)</f>
        <v>0.15</v>
      </c>
      <c r="AD100" s="10">
        <f t="shared" si="15"/>
        <v>0</v>
      </c>
      <c r="AE100" s="12"/>
    </row>
    <row r="101" spans="1:3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2"/>
      <c r="R101" s="12"/>
      <c r="S101" s="12"/>
      <c r="T101" s="12"/>
      <c r="U101" s="12"/>
      <c r="V101" s="18"/>
      <c r="W101" s="10">
        <f t="shared" si="12"/>
        <v>0</v>
      </c>
      <c r="X101" s="11"/>
      <c r="Y101" s="11">
        <f t="shared" si="13"/>
        <v>0</v>
      </c>
      <c r="Z101" s="10">
        <f>IF(Inställningar!$B$5="",0,Inställningar!$B$5)</f>
        <v>850</v>
      </c>
      <c r="AA101" s="10">
        <f t="shared" si="14"/>
        <v>0</v>
      </c>
      <c r="AB101" s="4"/>
      <c r="AC101" s="13">
        <f>IF(Inställningar!$B$6="",0,Inställningar!$B$6)</f>
        <v>0.15</v>
      </c>
      <c r="AD101" s="10">
        <f t="shared" si="15"/>
        <v>0</v>
      </c>
      <c r="AE101" s="12"/>
    </row>
    <row r="102" spans="1:3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2"/>
      <c r="R102" s="12"/>
      <c r="S102" s="12"/>
      <c r="T102" s="12"/>
      <c r="U102" s="12"/>
      <c r="V102" s="18"/>
      <c r="W102" s="10">
        <f t="shared" si="12"/>
        <v>0</v>
      </c>
      <c r="X102" s="11"/>
      <c r="Y102" s="11">
        <f t="shared" si="13"/>
        <v>0</v>
      </c>
      <c r="Z102" s="10">
        <f>IF(Inställningar!$B$5="",0,Inställningar!$B$5)</f>
        <v>850</v>
      </c>
      <c r="AA102" s="10">
        <f t="shared" si="14"/>
        <v>0</v>
      </c>
      <c r="AB102" s="4"/>
      <c r="AC102" s="13">
        <f>IF(Inställningar!$B$6="",0,Inställningar!$B$6)</f>
        <v>0.15</v>
      </c>
      <c r="AD102" s="10">
        <f t="shared" si="15"/>
        <v>0</v>
      </c>
      <c r="AE102" s="12"/>
    </row>
    <row r="103" spans="1:3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2"/>
      <c r="R103" s="12"/>
      <c r="S103" s="12"/>
      <c r="T103" s="12"/>
      <c r="U103" s="12"/>
      <c r="V103" s="18"/>
      <c r="W103" s="10">
        <f t="shared" ref="W103:W134" si="16">IF(OR(T103="",V103=""),0,T103*V103)</f>
        <v>0</v>
      </c>
      <c r="X103" s="11"/>
      <c r="Y103" s="11">
        <f t="shared" ref="Y103:Y134" si="17">IF(OR(T103="",X103=""),0,T103*X103)</f>
        <v>0</v>
      </c>
      <c r="Z103" s="10">
        <f>IF(Inställningar!$B$5="",0,Inställningar!$B$5)</f>
        <v>850</v>
      </c>
      <c r="AA103" s="10">
        <f t="shared" ref="AA103:AA134" si="18">Y103*Z103</f>
        <v>0</v>
      </c>
      <c r="AB103" s="4"/>
      <c r="AC103" s="13">
        <f>IF(Inställningar!$B$6="",0,Inställningar!$B$6)</f>
        <v>0.15</v>
      </c>
      <c r="AD103" s="10">
        <f t="shared" ref="AD103:AD134" si="19">ROUND((W103+AA103+IF(AB103="",0,AB103))*(1+AC103),0)</f>
        <v>0</v>
      </c>
      <c r="AE103" s="12"/>
    </row>
    <row r="104" spans="1:3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2"/>
      <c r="R104" s="12"/>
      <c r="S104" s="12"/>
      <c r="T104" s="12"/>
      <c r="U104" s="12"/>
      <c r="V104" s="18"/>
      <c r="W104" s="10">
        <f t="shared" si="16"/>
        <v>0</v>
      </c>
      <c r="X104" s="11"/>
      <c r="Y104" s="11">
        <f t="shared" si="17"/>
        <v>0</v>
      </c>
      <c r="Z104" s="10">
        <f>IF(Inställningar!$B$5="",0,Inställningar!$B$5)</f>
        <v>850</v>
      </c>
      <c r="AA104" s="10">
        <f t="shared" si="18"/>
        <v>0</v>
      </c>
      <c r="AB104" s="4"/>
      <c r="AC104" s="13">
        <f>IF(Inställningar!$B$6="",0,Inställningar!$B$6)</f>
        <v>0.15</v>
      </c>
      <c r="AD104" s="10">
        <f t="shared" si="19"/>
        <v>0</v>
      </c>
      <c r="AE104" s="12"/>
    </row>
    <row r="105" spans="1:3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2"/>
      <c r="R105" s="12"/>
      <c r="S105" s="12"/>
      <c r="T105" s="12"/>
      <c r="U105" s="12"/>
      <c r="V105" s="18"/>
      <c r="W105" s="10">
        <f t="shared" si="16"/>
        <v>0</v>
      </c>
      <c r="X105" s="11"/>
      <c r="Y105" s="11">
        <f t="shared" si="17"/>
        <v>0</v>
      </c>
      <c r="Z105" s="10">
        <f>IF(Inställningar!$B$5="",0,Inställningar!$B$5)</f>
        <v>850</v>
      </c>
      <c r="AA105" s="10">
        <f t="shared" si="18"/>
        <v>0</v>
      </c>
      <c r="AB105" s="4"/>
      <c r="AC105" s="13">
        <f>IF(Inställningar!$B$6="",0,Inställningar!$B$6)</f>
        <v>0.15</v>
      </c>
      <c r="AD105" s="10">
        <f t="shared" si="19"/>
        <v>0</v>
      </c>
      <c r="AE105" s="12"/>
    </row>
    <row r="106" spans="1:3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2"/>
      <c r="R106" s="12"/>
      <c r="S106" s="12"/>
      <c r="T106" s="12"/>
      <c r="U106" s="12"/>
      <c r="V106" s="18"/>
      <c r="W106" s="10">
        <f t="shared" si="16"/>
        <v>0</v>
      </c>
      <c r="X106" s="11"/>
      <c r="Y106" s="11">
        <f t="shared" si="17"/>
        <v>0</v>
      </c>
      <c r="Z106" s="10">
        <f>IF(Inställningar!$B$5="",0,Inställningar!$B$5)</f>
        <v>850</v>
      </c>
      <c r="AA106" s="10">
        <f t="shared" si="18"/>
        <v>0</v>
      </c>
      <c r="AB106" s="4"/>
      <c r="AC106" s="13">
        <f>IF(Inställningar!$B$6="",0,Inställningar!$B$6)</f>
        <v>0.15</v>
      </c>
      <c r="AD106" s="10">
        <f t="shared" si="19"/>
        <v>0</v>
      </c>
      <c r="AE106" s="12"/>
    </row>
    <row r="107" spans="1:3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2"/>
      <c r="R107" s="12"/>
      <c r="S107" s="12"/>
      <c r="T107" s="12"/>
      <c r="U107" s="12"/>
      <c r="V107" s="18"/>
      <c r="W107" s="10">
        <f t="shared" si="16"/>
        <v>0</v>
      </c>
      <c r="X107" s="11"/>
      <c r="Y107" s="11">
        <f t="shared" si="17"/>
        <v>0</v>
      </c>
      <c r="Z107" s="10">
        <f>IF(Inställningar!$B$5="",0,Inställningar!$B$5)</f>
        <v>850</v>
      </c>
      <c r="AA107" s="10">
        <f t="shared" si="18"/>
        <v>0</v>
      </c>
      <c r="AB107" s="4"/>
      <c r="AC107" s="13">
        <f>IF(Inställningar!$B$6="",0,Inställningar!$B$6)</f>
        <v>0.15</v>
      </c>
      <c r="AD107" s="10">
        <f t="shared" si="19"/>
        <v>0</v>
      </c>
      <c r="AE107" s="12"/>
    </row>
    <row r="108" spans="1:3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2"/>
      <c r="R108" s="12"/>
      <c r="S108" s="12"/>
      <c r="T108" s="12"/>
      <c r="U108" s="12"/>
      <c r="V108" s="18"/>
      <c r="W108" s="10">
        <f t="shared" si="16"/>
        <v>0</v>
      </c>
      <c r="X108" s="11"/>
      <c r="Y108" s="11">
        <f t="shared" si="17"/>
        <v>0</v>
      </c>
      <c r="Z108" s="10">
        <f>IF(Inställningar!$B$5="",0,Inställningar!$B$5)</f>
        <v>850</v>
      </c>
      <c r="AA108" s="10">
        <f t="shared" si="18"/>
        <v>0</v>
      </c>
      <c r="AB108" s="4"/>
      <c r="AC108" s="13">
        <f>IF(Inställningar!$B$6="",0,Inställningar!$B$6)</f>
        <v>0.15</v>
      </c>
      <c r="AD108" s="10">
        <f t="shared" si="19"/>
        <v>0</v>
      </c>
      <c r="AE108" s="12"/>
    </row>
    <row r="109" spans="1:3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2"/>
      <c r="R109" s="12"/>
      <c r="S109" s="12"/>
      <c r="T109" s="12"/>
      <c r="U109" s="12"/>
      <c r="V109" s="18"/>
      <c r="W109" s="10">
        <f t="shared" si="16"/>
        <v>0</v>
      </c>
      <c r="X109" s="11"/>
      <c r="Y109" s="11">
        <f t="shared" si="17"/>
        <v>0</v>
      </c>
      <c r="Z109" s="10">
        <f>IF(Inställningar!$B$5="",0,Inställningar!$B$5)</f>
        <v>850</v>
      </c>
      <c r="AA109" s="10">
        <f t="shared" si="18"/>
        <v>0</v>
      </c>
      <c r="AB109" s="4"/>
      <c r="AC109" s="13">
        <f>IF(Inställningar!$B$6="",0,Inställningar!$B$6)</f>
        <v>0.15</v>
      </c>
      <c r="AD109" s="10">
        <f t="shared" si="19"/>
        <v>0</v>
      </c>
      <c r="AE109" s="12"/>
    </row>
    <row r="110" spans="1:3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2"/>
      <c r="R110" s="12"/>
      <c r="S110" s="12"/>
      <c r="T110" s="12"/>
      <c r="U110" s="12"/>
      <c r="V110" s="18"/>
      <c r="W110" s="10">
        <f t="shared" si="16"/>
        <v>0</v>
      </c>
      <c r="X110" s="11"/>
      <c r="Y110" s="11">
        <f t="shared" si="17"/>
        <v>0</v>
      </c>
      <c r="Z110" s="10">
        <f>IF(Inställningar!$B$5="",0,Inställningar!$B$5)</f>
        <v>850</v>
      </c>
      <c r="AA110" s="10">
        <f t="shared" si="18"/>
        <v>0</v>
      </c>
      <c r="AB110" s="4"/>
      <c r="AC110" s="13">
        <f>IF(Inställningar!$B$6="",0,Inställningar!$B$6)</f>
        <v>0.15</v>
      </c>
      <c r="AD110" s="10">
        <f t="shared" si="19"/>
        <v>0</v>
      </c>
      <c r="AE110" s="12"/>
    </row>
    <row r="111" spans="1:3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2"/>
      <c r="R111" s="12"/>
      <c r="S111" s="12"/>
      <c r="T111" s="12"/>
      <c r="U111" s="12"/>
      <c r="V111" s="18"/>
      <c r="W111" s="10">
        <f t="shared" si="16"/>
        <v>0</v>
      </c>
      <c r="X111" s="11"/>
      <c r="Y111" s="11">
        <f t="shared" si="17"/>
        <v>0</v>
      </c>
      <c r="Z111" s="10">
        <f>IF(Inställningar!$B$5="",0,Inställningar!$B$5)</f>
        <v>850</v>
      </c>
      <c r="AA111" s="10">
        <f t="shared" si="18"/>
        <v>0</v>
      </c>
      <c r="AB111" s="4"/>
      <c r="AC111" s="13">
        <f>IF(Inställningar!$B$6="",0,Inställningar!$B$6)</f>
        <v>0.15</v>
      </c>
      <c r="AD111" s="10">
        <f t="shared" si="19"/>
        <v>0</v>
      </c>
      <c r="AE111" s="12"/>
    </row>
    <row r="112" spans="1:3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2"/>
      <c r="R112" s="12"/>
      <c r="S112" s="12"/>
      <c r="T112" s="12"/>
      <c r="U112" s="12"/>
      <c r="V112" s="18"/>
      <c r="W112" s="10">
        <f t="shared" si="16"/>
        <v>0</v>
      </c>
      <c r="X112" s="11"/>
      <c r="Y112" s="11">
        <f t="shared" si="17"/>
        <v>0</v>
      </c>
      <c r="Z112" s="10">
        <f>IF(Inställningar!$B$5="",0,Inställningar!$B$5)</f>
        <v>850</v>
      </c>
      <c r="AA112" s="10">
        <f t="shared" si="18"/>
        <v>0</v>
      </c>
      <c r="AB112" s="4"/>
      <c r="AC112" s="13">
        <f>IF(Inställningar!$B$6="",0,Inställningar!$B$6)</f>
        <v>0.15</v>
      </c>
      <c r="AD112" s="10">
        <f t="shared" si="19"/>
        <v>0</v>
      </c>
      <c r="AE112" s="12"/>
    </row>
    <row r="113" spans="1:3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2"/>
      <c r="R113" s="12"/>
      <c r="S113" s="12"/>
      <c r="T113" s="12"/>
      <c r="U113" s="12"/>
      <c r="V113" s="18"/>
      <c r="W113" s="10">
        <f t="shared" si="16"/>
        <v>0</v>
      </c>
      <c r="X113" s="11"/>
      <c r="Y113" s="11">
        <f t="shared" si="17"/>
        <v>0</v>
      </c>
      <c r="Z113" s="10">
        <f>IF(Inställningar!$B$5="",0,Inställningar!$B$5)</f>
        <v>850</v>
      </c>
      <c r="AA113" s="10">
        <f t="shared" si="18"/>
        <v>0</v>
      </c>
      <c r="AB113" s="4"/>
      <c r="AC113" s="13">
        <f>IF(Inställningar!$B$6="",0,Inställningar!$B$6)</f>
        <v>0.15</v>
      </c>
      <c r="AD113" s="10">
        <f t="shared" si="19"/>
        <v>0</v>
      </c>
      <c r="AE113" s="12"/>
    </row>
    <row r="114" spans="1:3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2"/>
      <c r="R114" s="12"/>
      <c r="S114" s="12"/>
      <c r="T114" s="12"/>
      <c r="U114" s="12"/>
      <c r="V114" s="18"/>
      <c r="W114" s="10">
        <f t="shared" si="16"/>
        <v>0</v>
      </c>
      <c r="X114" s="11"/>
      <c r="Y114" s="11">
        <f t="shared" si="17"/>
        <v>0</v>
      </c>
      <c r="Z114" s="10">
        <f>IF(Inställningar!$B$5="",0,Inställningar!$B$5)</f>
        <v>850</v>
      </c>
      <c r="AA114" s="10">
        <f t="shared" si="18"/>
        <v>0</v>
      </c>
      <c r="AB114" s="4"/>
      <c r="AC114" s="13">
        <f>IF(Inställningar!$B$6="",0,Inställningar!$B$6)</f>
        <v>0.15</v>
      </c>
      <c r="AD114" s="10">
        <f t="shared" si="19"/>
        <v>0</v>
      </c>
      <c r="AE114" s="12"/>
    </row>
    <row r="115" spans="1:3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2"/>
      <c r="R115" s="12"/>
      <c r="S115" s="12"/>
      <c r="T115" s="12"/>
      <c r="U115" s="12"/>
      <c r="V115" s="18"/>
      <c r="W115" s="10">
        <f t="shared" si="16"/>
        <v>0</v>
      </c>
      <c r="X115" s="11"/>
      <c r="Y115" s="11">
        <f t="shared" si="17"/>
        <v>0</v>
      </c>
      <c r="Z115" s="10">
        <f>IF(Inställningar!$B$5="",0,Inställningar!$B$5)</f>
        <v>850</v>
      </c>
      <c r="AA115" s="10">
        <f t="shared" si="18"/>
        <v>0</v>
      </c>
      <c r="AB115" s="4"/>
      <c r="AC115" s="13">
        <f>IF(Inställningar!$B$6="",0,Inställningar!$B$6)</f>
        <v>0.15</v>
      </c>
      <c r="AD115" s="10">
        <f t="shared" si="19"/>
        <v>0</v>
      </c>
      <c r="AE115" s="12"/>
    </row>
    <row r="116" spans="1:3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2"/>
      <c r="R116" s="12"/>
      <c r="S116" s="12"/>
      <c r="T116" s="12"/>
      <c r="U116" s="12"/>
      <c r="V116" s="18"/>
      <c r="W116" s="10">
        <f t="shared" si="16"/>
        <v>0</v>
      </c>
      <c r="X116" s="11"/>
      <c r="Y116" s="11">
        <f t="shared" si="17"/>
        <v>0</v>
      </c>
      <c r="Z116" s="10">
        <f>IF(Inställningar!$B$5="",0,Inställningar!$B$5)</f>
        <v>850</v>
      </c>
      <c r="AA116" s="10">
        <f t="shared" si="18"/>
        <v>0</v>
      </c>
      <c r="AB116" s="4"/>
      <c r="AC116" s="13">
        <f>IF(Inställningar!$B$6="",0,Inställningar!$B$6)</f>
        <v>0.15</v>
      </c>
      <c r="AD116" s="10">
        <f t="shared" si="19"/>
        <v>0</v>
      </c>
      <c r="AE116" s="12"/>
    </row>
    <row r="117" spans="1:3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2"/>
      <c r="R117" s="12"/>
      <c r="S117" s="12"/>
      <c r="T117" s="12"/>
      <c r="U117" s="12"/>
      <c r="V117" s="18"/>
      <c r="W117" s="10">
        <f t="shared" si="16"/>
        <v>0</v>
      </c>
      <c r="X117" s="11"/>
      <c r="Y117" s="11">
        <f t="shared" si="17"/>
        <v>0</v>
      </c>
      <c r="Z117" s="10">
        <f>IF(Inställningar!$B$5="",0,Inställningar!$B$5)</f>
        <v>850</v>
      </c>
      <c r="AA117" s="10">
        <f t="shared" si="18"/>
        <v>0</v>
      </c>
      <c r="AB117" s="4"/>
      <c r="AC117" s="13">
        <f>IF(Inställningar!$B$6="",0,Inställningar!$B$6)</f>
        <v>0.15</v>
      </c>
      <c r="AD117" s="10">
        <f t="shared" si="19"/>
        <v>0</v>
      </c>
      <c r="AE117" s="12"/>
    </row>
    <row r="118" spans="1:3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2"/>
      <c r="R118" s="12"/>
      <c r="S118" s="12"/>
      <c r="T118" s="12"/>
      <c r="U118" s="12"/>
      <c r="V118" s="18"/>
      <c r="W118" s="10">
        <f t="shared" si="16"/>
        <v>0</v>
      </c>
      <c r="X118" s="11"/>
      <c r="Y118" s="11">
        <f t="shared" si="17"/>
        <v>0</v>
      </c>
      <c r="Z118" s="10">
        <f>IF(Inställningar!$B$5="",0,Inställningar!$B$5)</f>
        <v>850</v>
      </c>
      <c r="AA118" s="10">
        <f t="shared" si="18"/>
        <v>0</v>
      </c>
      <c r="AB118" s="4"/>
      <c r="AC118" s="13">
        <f>IF(Inställningar!$B$6="",0,Inställningar!$B$6)</f>
        <v>0.15</v>
      </c>
      <c r="AD118" s="10">
        <f t="shared" si="19"/>
        <v>0</v>
      </c>
      <c r="AE118" s="12"/>
    </row>
    <row r="119" spans="1:3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2"/>
      <c r="R119" s="12"/>
      <c r="S119" s="12"/>
      <c r="T119" s="12"/>
      <c r="U119" s="12"/>
      <c r="V119" s="18"/>
      <c r="W119" s="10">
        <f t="shared" si="16"/>
        <v>0</v>
      </c>
      <c r="X119" s="11"/>
      <c r="Y119" s="11">
        <f t="shared" si="17"/>
        <v>0</v>
      </c>
      <c r="Z119" s="10">
        <f>IF(Inställningar!$B$5="",0,Inställningar!$B$5)</f>
        <v>850</v>
      </c>
      <c r="AA119" s="10">
        <f t="shared" si="18"/>
        <v>0</v>
      </c>
      <c r="AB119" s="4"/>
      <c r="AC119" s="13">
        <f>IF(Inställningar!$B$6="",0,Inställningar!$B$6)</f>
        <v>0.15</v>
      </c>
      <c r="AD119" s="10">
        <f t="shared" si="19"/>
        <v>0</v>
      </c>
      <c r="AE119" s="12"/>
    </row>
    <row r="120" spans="1:3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2"/>
      <c r="R120" s="12"/>
      <c r="S120" s="12"/>
      <c r="T120" s="12"/>
      <c r="U120" s="12"/>
      <c r="V120" s="18"/>
      <c r="W120" s="10">
        <f t="shared" si="16"/>
        <v>0</v>
      </c>
      <c r="X120" s="11"/>
      <c r="Y120" s="11">
        <f t="shared" si="17"/>
        <v>0</v>
      </c>
      <c r="Z120" s="10">
        <f>IF(Inställningar!$B$5="",0,Inställningar!$B$5)</f>
        <v>850</v>
      </c>
      <c r="AA120" s="10">
        <f t="shared" si="18"/>
        <v>0</v>
      </c>
      <c r="AB120" s="4"/>
      <c r="AC120" s="13">
        <f>IF(Inställningar!$B$6="",0,Inställningar!$B$6)</f>
        <v>0.15</v>
      </c>
      <c r="AD120" s="10">
        <f t="shared" si="19"/>
        <v>0</v>
      </c>
      <c r="AE120" s="12"/>
    </row>
    <row r="121" spans="1:3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2"/>
      <c r="R121" s="12"/>
      <c r="S121" s="12"/>
      <c r="T121" s="12"/>
      <c r="U121" s="12"/>
      <c r="V121" s="18"/>
      <c r="W121" s="10">
        <f t="shared" si="16"/>
        <v>0</v>
      </c>
      <c r="X121" s="11"/>
      <c r="Y121" s="11">
        <f t="shared" si="17"/>
        <v>0</v>
      </c>
      <c r="Z121" s="10">
        <f>IF(Inställningar!$B$5="",0,Inställningar!$B$5)</f>
        <v>850</v>
      </c>
      <c r="AA121" s="10">
        <f t="shared" si="18"/>
        <v>0</v>
      </c>
      <c r="AB121" s="4"/>
      <c r="AC121" s="13">
        <f>IF(Inställningar!$B$6="",0,Inställningar!$B$6)</f>
        <v>0.15</v>
      </c>
      <c r="AD121" s="10">
        <f t="shared" si="19"/>
        <v>0</v>
      </c>
      <c r="AE121" s="12"/>
    </row>
    <row r="122" spans="1:3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2"/>
      <c r="R122" s="12"/>
      <c r="S122" s="12"/>
      <c r="T122" s="12"/>
      <c r="U122" s="12"/>
      <c r="V122" s="18"/>
      <c r="W122" s="10">
        <f t="shared" si="16"/>
        <v>0</v>
      </c>
      <c r="X122" s="11"/>
      <c r="Y122" s="11">
        <f t="shared" si="17"/>
        <v>0</v>
      </c>
      <c r="Z122" s="10">
        <f>IF(Inställningar!$B$5="",0,Inställningar!$B$5)</f>
        <v>850</v>
      </c>
      <c r="AA122" s="10">
        <f t="shared" si="18"/>
        <v>0</v>
      </c>
      <c r="AB122" s="4"/>
      <c r="AC122" s="13">
        <f>IF(Inställningar!$B$6="",0,Inställningar!$B$6)</f>
        <v>0.15</v>
      </c>
      <c r="AD122" s="10">
        <f t="shared" si="19"/>
        <v>0</v>
      </c>
      <c r="AE122" s="12"/>
    </row>
    <row r="123" spans="1:3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2"/>
      <c r="R123" s="12"/>
      <c r="S123" s="12"/>
      <c r="T123" s="12"/>
      <c r="U123" s="12"/>
      <c r="V123" s="18"/>
      <c r="W123" s="10">
        <f t="shared" si="16"/>
        <v>0</v>
      </c>
      <c r="X123" s="11"/>
      <c r="Y123" s="11">
        <f t="shared" si="17"/>
        <v>0</v>
      </c>
      <c r="Z123" s="10">
        <f>IF(Inställningar!$B$5="",0,Inställningar!$B$5)</f>
        <v>850</v>
      </c>
      <c r="AA123" s="10">
        <f t="shared" si="18"/>
        <v>0</v>
      </c>
      <c r="AB123" s="4"/>
      <c r="AC123" s="13">
        <f>IF(Inställningar!$B$6="",0,Inställningar!$B$6)</f>
        <v>0.15</v>
      </c>
      <c r="AD123" s="10">
        <f t="shared" si="19"/>
        <v>0</v>
      </c>
      <c r="AE123" s="12"/>
    </row>
    <row r="124" spans="1:3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2"/>
      <c r="R124" s="12"/>
      <c r="S124" s="12"/>
      <c r="T124" s="12"/>
      <c r="U124" s="12"/>
      <c r="V124" s="18"/>
      <c r="W124" s="10">
        <f t="shared" si="16"/>
        <v>0</v>
      </c>
      <c r="X124" s="11"/>
      <c r="Y124" s="11">
        <f t="shared" si="17"/>
        <v>0</v>
      </c>
      <c r="Z124" s="10">
        <f>IF(Inställningar!$B$5="",0,Inställningar!$B$5)</f>
        <v>850</v>
      </c>
      <c r="AA124" s="10">
        <f t="shared" si="18"/>
        <v>0</v>
      </c>
      <c r="AB124" s="4"/>
      <c r="AC124" s="13">
        <f>IF(Inställningar!$B$6="",0,Inställningar!$B$6)</f>
        <v>0.15</v>
      </c>
      <c r="AD124" s="10">
        <f t="shared" si="19"/>
        <v>0</v>
      </c>
      <c r="AE124" s="12"/>
    </row>
    <row r="125" spans="1:3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2"/>
      <c r="R125" s="12"/>
      <c r="S125" s="12"/>
      <c r="T125" s="12"/>
      <c r="U125" s="12"/>
      <c r="V125" s="18"/>
      <c r="W125" s="10">
        <f t="shared" si="16"/>
        <v>0</v>
      </c>
      <c r="X125" s="11"/>
      <c r="Y125" s="11">
        <f t="shared" si="17"/>
        <v>0</v>
      </c>
      <c r="Z125" s="10">
        <f>IF(Inställningar!$B$5="",0,Inställningar!$B$5)</f>
        <v>850</v>
      </c>
      <c r="AA125" s="10">
        <f t="shared" si="18"/>
        <v>0</v>
      </c>
      <c r="AB125" s="4"/>
      <c r="AC125" s="13">
        <f>IF(Inställningar!$B$6="",0,Inställningar!$B$6)</f>
        <v>0.15</v>
      </c>
      <c r="AD125" s="10">
        <f t="shared" si="19"/>
        <v>0</v>
      </c>
      <c r="AE125" s="12"/>
    </row>
    <row r="126" spans="1:3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2"/>
      <c r="R126" s="12"/>
      <c r="S126" s="12"/>
      <c r="T126" s="12"/>
      <c r="U126" s="12"/>
      <c r="V126" s="18"/>
      <c r="W126" s="10">
        <f t="shared" si="16"/>
        <v>0</v>
      </c>
      <c r="X126" s="11"/>
      <c r="Y126" s="11">
        <f t="shared" si="17"/>
        <v>0</v>
      </c>
      <c r="Z126" s="10">
        <f>IF(Inställningar!$B$5="",0,Inställningar!$B$5)</f>
        <v>850</v>
      </c>
      <c r="AA126" s="10">
        <f t="shared" si="18"/>
        <v>0</v>
      </c>
      <c r="AB126" s="4"/>
      <c r="AC126" s="13">
        <f>IF(Inställningar!$B$6="",0,Inställningar!$B$6)</f>
        <v>0.15</v>
      </c>
      <c r="AD126" s="10">
        <f t="shared" si="19"/>
        <v>0</v>
      </c>
      <c r="AE126" s="12"/>
    </row>
  </sheetData>
  <mergeCells count="2">
    <mergeCell ref="A1:O2"/>
    <mergeCell ref="A3:O4"/>
  </mergeCells>
  <conditionalFormatting sqref="J7:J51">
    <cfRule type="expression" dxfId="0" priority="1">
      <formula>J7="Ja"</formula>
    </cfRule>
  </conditionalFormatting>
  <dataValidations count="3">
    <dataValidation type="list" sqref="A7:A51 I7:J51" xr:uid="{00000000-0002-0000-0600-000000000000}">
      <formula1>"Ja,Nej"</formula1>
    </dataValidation>
    <dataValidation type="list" sqref="U7:U126" xr:uid="{00000000-0002-0000-0600-000003000000}">
      <formula1>"st,m,m²,paket,tim,övrigt"</formula1>
    </dataValidation>
    <dataValidation type="list" sqref="Q7:Q126" xr:uid="{00000000-0002-0000-0600-000004000000}">
      <formula1>$D$7:$D$51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8"/>
  <sheetViews>
    <sheetView workbookViewId="0"/>
  </sheetViews>
  <sheetFormatPr defaultRowHeight="14.25"/>
  <cols>
    <col min="1" max="1" width="14" customWidth="1"/>
    <col min="2" max="3" width="16" customWidth="1"/>
    <col min="4" max="4" width="24" customWidth="1"/>
    <col min="5" max="5" width="32" customWidth="1"/>
    <col min="6" max="6" width="13" customWidth="1"/>
    <col min="7" max="7" width="16" customWidth="1"/>
    <col min="8" max="8" width="12" customWidth="1"/>
    <col min="9" max="9" width="10" customWidth="1"/>
    <col min="10" max="10" width="48" customWidth="1"/>
  </cols>
  <sheetData>
    <row r="1" spans="1:10">
      <c r="A1" s="23" t="s">
        <v>464</v>
      </c>
      <c r="B1" s="23"/>
      <c r="C1" s="23"/>
      <c r="D1" s="23"/>
      <c r="E1" s="23"/>
      <c r="F1" s="23"/>
      <c r="G1" s="23"/>
      <c r="H1" s="23"/>
      <c r="I1" s="23"/>
      <c r="J1" s="23"/>
    </row>
    <row r="2" spans="1:10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10">
      <c r="A3" s="21" t="s">
        <v>465</v>
      </c>
      <c r="B3" s="21"/>
      <c r="C3" s="21"/>
      <c r="D3" s="21"/>
      <c r="E3" s="21"/>
      <c r="F3" s="21"/>
      <c r="G3" s="21"/>
      <c r="H3" s="21"/>
      <c r="I3" s="21"/>
      <c r="J3" s="21"/>
    </row>
    <row r="4" spans="1:10">
      <c r="A4" s="21"/>
      <c r="B4" s="21"/>
      <c r="C4" s="21"/>
      <c r="D4" s="21"/>
      <c r="E4" s="21"/>
      <c r="F4" s="21"/>
      <c r="G4" s="21"/>
      <c r="H4" s="21"/>
      <c r="I4" s="21"/>
      <c r="J4" s="21"/>
    </row>
    <row r="6" spans="1:10" ht="15">
      <c r="A6" s="2" t="s">
        <v>466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467</v>
      </c>
      <c r="H6" s="2" t="s">
        <v>74</v>
      </c>
      <c r="I6" s="2" t="s">
        <v>61</v>
      </c>
      <c r="J6" s="2" t="s">
        <v>67</v>
      </c>
    </row>
    <row r="7" spans="1:10">
      <c r="A7" s="3" t="str">
        <f>IF(Sporthall!A7="Ja","Sporthall","")</f>
        <v>Sporthall</v>
      </c>
      <c r="B7" s="3" t="str">
        <f>IF($A7="","",Sporthall!B7)</f>
        <v>hallType</v>
      </c>
      <c r="C7" s="3" t="str">
        <f>IF($A7="","",Sporthall!C7)</f>
        <v>simple</v>
      </c>
      <c r="D7" s="3" t="str">
        <f>IF($A7="","",Sporthall!D7)</f>
        <v>hallType:simple</v>
      </c>
      <c r="E7" s="3" t="str">
        <f>IF($A7="","",Sporthall!E7)</f>
        <v>Halltyp och grundlogik</v>
      </c>
      <c r="F7" s="3" t="str">
        <f>IF($A7="","",Sporthall!F7)</f>
        <v>Fast</v>
      </c>
      <c r="G7" s="15">
        <f>IF($A7="","",Sporthall!M7)</f>
        <v>0</v>
      </c>
      <c r="H7" s="16">
        <f>IF($A7="","",Sporthall!N7)</f>
        <v>0</v>
      </c>
      <c r="I7" s="3" t="str">
        <f>IF($A7="","",Sporthall!I7)</f>
        <v>Nej</v>
      </c>
      <c r="J7" s="3" t="str">
        <f>IF($A7="","",IFERROR(Sporthall!O7,""))</f>
        <v>Enkel sporthall vald.</v>
      </c>
    </row>
    <row r="8" spans="1:10">
      <c r="A8" s="3" t="str">
        <f>IF(Sporthall!A8="Ja","Sporthall","")</f>
        <v>Sporthall</v>
      </c>
      <c r="B8" s="3" t="str">
        <f>IF($A8="","",Sporthall!B8)</f>
        <v>hallType</v>
      </c>
      <c r="C8" s="3" t="str">
        <f>IF($A8="","",Sporthall!C8)</f>
        <v>dividable</v>
      </c>
      <c r="D8" s="3" t="str">
        <f>IF($A8="","",Sporthall!D8)</f>
        <v>hallType:dividable</v>
      </c>
      <c r="E8" s="3" t="str">
        <f>IF($A8="","",Sporthall!E8)</f>
        <v>Halltyp och grundlogik</v>
      </c>
      <c r="F8" s="3" t="str">
        <f>IF($A8="","",Sporthall!F8)</f>
        <v>Fast</v>
      </c>
      <c r="G8" s="15">
        <f>IF($A8="","",Sporthall!M8)</f>
        <v>25000</v>
      </c>
      <c r="H8" s="16">
        <f>IF($A8="","",Sporthall!N8)</f>
        <v>4</v>
      </c>
      <c r="I8" s="3" t="str">
        <f>IF($A8="","",Sporthall!I8)</f>
        <v>Nej</v>
      </c>
      <c r="J8" s="3" t="str">
        <f>IF($A8="","",IFERROR(Sporthall!O8,""))</f>
        <v>Delbar hall med A/B-logik.</v>
      </c>
    </row>
    <row r="9" spans="1:10">
      <c r="A9" s="3" t="str">
        <f>IF(Sporthall!A9="Ja","Sporthall","")</f>
        <v>Sporthall</v>
      </c>
      <c r="B9" s="3" t="str">
        <f>IF($A9="","",Sporthall!B9)</f>
        <v>hallType</v>
      </c>
      <c r="C9" s="3" t="str">
        <f>IF($A9="","",Sporthall!C9)</f>
        <v>stands</v>
      </c>
      <c r="D9" s="3" t="str">
        <f>IF($A9="","",Sporthall!D9)</f>
        <v>hallType:stands</v>
      </c>
      <c r="E9" s="3" t="str">
        <f>IF($A9="","",Sporthall!E9)</f>
        <v>Halltyp och grundlogik</v>
      </c>
      <c r="F9" s="3" t="str">
        <f>IF($A9="","",Sporthall!F9)</f>
        <v>Fast</v>
      </c>
      <c r="G9" s="15">
        <f>IF($A9="","",Sporthall!M9)</f>
        <v>18000</v>
      </c>
      <c r="H9" s="16">
        <f>IF($A9="","",Sporthall!N9)</f>
        <v>5</v>
      </c>
      <c r="I9" s="3" t="str">
        <f>IF($A9="","",Sporthall!I9)</f>
        <v>Nej</v>
      </c>
      <c r="J9" s="3" t="str">
        <f>IF($A9="","",IFERROR(Sporthall!O9,""))</f>
        <v>Hall med läktare och publiklogik.</v>
      </c>
    </row>
    <row r="10" spans="1:10">
      <c r="A10" s="3" t="str">
        <f>IF(Sporthall!A10="Ja","Sporthall","")</f>
        <v>Sporthall</v>
      </c>
      <c r="B10" s="3" t="str">
        <f>IF($A10="","",Sporthall!B10)</f>
        <v>hallType</v>
      </c>
      <c r="C10" s="3" t="str">
        <f>IF($A10="","",Sporthall!C10)</f>
        <v>sti</v>
      </c>
      <c r="D10" s="3" t="str">
        <f>IF($A10="","",Sporthall!D10)</f>
        <v>hallType:sti</v>
      </c>
      <c r="E10" s="3" t="str">
        <f>IF($A10="","",Sporthall!E10)</f>
        <v>Halltyp och grundlogik</v>
      </c>
      <c r="F10" s="3" t="str">
        <f>IF($A10="","",Sporthall!F10)</f>
        <v>Fast</v>
      </c>
      <c r="G10" s="15">
        <f>IF($A10="","",Sporthall!M10)</f>
        <v>30000</v>
      </c>
      <c r="H10" s="16">
        <f>IF($A10="","",Sporthall!N10)</f>
        <v>8</v>
      </c>
      <c r="I10" s="3" t="str">
        <f>IF($A10="","",Sporthall!I10)</f>
        <v>Nej</v>
      </c>
      <c r="J10" s="3" t="str">
        <f>IF($A10="","",IFERROR(Sporthall!O10,""))</f>
        <v>Hall med fördjupad taluppfattbarhet.</v>
      </c>
    </row>
    <row r="11" spans="1:10">
      <c r="A11" s="3" t="str">
        <f>IF(Sporthall!A11="Ja","Sporthall","")</f>
        <v>Sporthall</v>
      </c>
      <c r="B11" s="3" t="str">
        <f>IF($A11="","",Sporthall!B11)</f>
        <v>basePackage</v>
      </c>
      <c r="C11" s="3" t="str">
        <f>IF($A11="","",Sporthall!C11)</f>
        <v>simple</v>
      </c>
      <c r="D11" s="3" t="str">
        <f>IF($A11="","",Sporthall!D11)</f>
        <v>basePackage:simple</v>
      </c>
      <c r="E11" s="3" t="str">
        <f>IF($A11="","",Sporthall!E11)</f>
        <v>Basljud sporthall</v>
      </c>
      <c r="F11" s="3" t="str">
        <f>IF($A11="","",Sporthall!F11)</f>
        <v>Fast</v>
      </c>
      <c r="G11" s="15">
        <f>IF($A11="","",Sporthall!M11)</f>
        <v>98000</v>
      </c>
      <c r="H11" s="16">
        <f>IF($A11="","",Sporthall!N11)</f>
        <v>18</v>
      </c>
      <c r="I11" s="3" t="str">
        <f>IF($A11="","",Sporthall!I11)</f>
        <v>Nej</v>
      </c>
      <c r="J11" s="3" t="str">
        <f>IF($A11="","",IFERROR(Sporthall!O11,""))</f>
        <v>Budgetpost för huvudljud och grundläggande drift.</v>
      </c>
    </row>
    <row r="12" spans="1:10">
      <c r="A12" s="3" t="str">
        <f>IF(Sporthall!A12="Ja","Sporthall","")</f>
        <v>Sporthall</v>
      </c>
      <c r="B12" s="3" t="str">
        <f>IF($A12="","",Sporthall!B12)</f>
        <v>basePackage</v>
      </c>
      <c r="C12" s="3" t="str">
        <f>IF($A12="","",Sporthall!C12)</f>
        <v>dsp</v>
      </c>
      <c r="D12" s="3" t="str">
        <f>IF($A12="","",Sporthall!D12)</f>
        <v>basePackage:dsp</v>
      </c>
      <c r="E12" s="3" t="str">
        <f>IF($A12="","",Sporthall!E12)</f>
        <v>Basljud sporthall</v>
      </c>
      <c r="F12" s="3" t="str">
        <f>IF($A12="","",Sporthall!F12)</f>
        <v>Fast</v>
      </c>
      <c r="G12" s="15">
        <f>IF($A12="","",Sporthall!M12)</f>
        <v>123000</v>
      </c>
      <c r="H12" s="16">
        <f>IF($A12="","",Sporthall!N12)</f>
        <v>22</v>
      </c>
      <c r="I12" s="3" t="str">
        <f>IF($A12="","",Sporthall!I12)</f>
        <v>Nej</v>
      </c>
      <c r="J12" s="3" t="str">
        <f>IF($A12="","",IFERROR(Sporthall!O12,""))</f>
        <v>Budgetpost för huvudljud med DSP och zonlogik.</v>
      </c>
    </row>
    <row r="13" spans="1:10">
      <c r="A13" s="3" t="str">
        <f>IF(Sporthall!A13="Ja","Sporthall","")</f>
        <v>Sporthall</v>
      </c>
      <c r="B13" s="3" t="str">
        <f>IF($A13="","",Sporthall!B13)</f>
        <v>standsSound</v>
      </c>
      <c r="C13" s="3" t="str">
        <f>IF($A13="","",Sporthall!C13)</f>
        <v>none</v>
      </c>
      <c r="D13" s="3" t="str">
        <f>IF($A13="","",Sporthall!D13)</f>
        <v>standsSound:none</v>
      </c>
      <c r="E13" s="3" t="str">
        <f>IF($A13="","",Sporthall!E13)</f>
        <v>Läktarljud</v>
      </c>
      <c r="F13" s="3" t="str">
        <f>IF($A13="","",Sporthall!F13)</f>
        <v>Fast</v>
      </c>
      <c r="G13" s="15">
        <f>IF($A13="","",Sporthall!M13)</f>
        <v>0</v>
      </c>
      <c r="H13" s="16">
        <f>IF($A13="","",Sporthall!N13)</f>
        <v>0</v>
      </c>
      <c r="I13" s="3" t="str">
        <f>IF($A13="","",Sporthall!I13)</f>
        <v>Nej</v>
      </c>
      <c r="J13" s="3">
        <f>IF($A13="","",IFERROR(Sporthall!O13,""))</f>
        <v>0</v>
      </c>
    </row>
    <row r="14" spans="1:10">
      <c r="A14" s="3" t="str">
        <f>IF(Sporthall!A14="Ja","Sporthall","")</f>
        <v>Sporthall</v>
      </c>
      <c r="B14" s="3" t="str">
        <f>IF($A14="","",Sporthall!B14)</f>
        <v>standsSound</v>
      </c>
      <c r="C14" s="3" t="str">
        <f>IF($A14="","",Sporthall!C14)</f>
        <v>eight12</v>
      </c>
      <c r="D14" s="3" t="str">
        <f>IF($A14="","",Sporthall!D14)</f>
        <v>standsSound:eight12</v>
      </c>
      <c r="E14" s="3" t="str">
        <f>IF($A14="","",Sporthall!E14)</f>
        <v>Läktarljud för sporthall</v>
      </c>
      <c r="F14" s="3" t="str">
        <f>IF($A14="","",Sporthall!F14)</f>
        <v>Fast</v>
      </c>
      <c r="G14" s="15">
        <f>IF($A14="","",Sporthall!M14)</f>
        <v>60000</v>
      </c>
      <c r="H14" s="16">
        <f>IF($A14="","",Sporthall!N14)</f>
        <v>12</v>
      </c>
      <c r="I14" s="3" t="str">
        <f>IF($A14="","",Sporthall!I14)</f>
        <v>Nej</v>
      </c>
      <c r="J14" s="3" t="str">
        <f>IF($A14="","",IFERROR(Sporthall!O14,""))</f>
        <v>Budgetpost för separat ljud mot läktare.</v>
      </c>
    </row>
    <row r="15" spans="1:10">
      <c r="A15" s="3" t="str">
        <f>IF(Sporthall!A15="Ja","Sporthall","")</f>
        <v>Sporthall</v>
      </c>
      <c r="B15" s="3" t="str">
        <f>IF($A15="","",Sporthall!B15)</f>
        <v>control</v>
      </c>
      <c r="C15" s="3" t="str">
        <f>IF($A15="","",Sporthall!C15)</f>
        <v>knob</v>
      </c>
      <c r="D15" s="3" t="str">
        <f>IF($A15="","",Sporthall!D15)</f>
        <v>control:knob</v>
      </c>
      <c r="E15" s="3" t="str">
        <f>IF($A15="","",Sporthall!E15)</f>
        <v>Styrning</v>
      </c>
      <c r="F15" s="3" t="str">
        <f>IF($A15="","",Sporthall!F15)</f>
        <v>Fast</v>
      </c>
      <c r="G15" s="15">
        <f>IF($A15="","",Sporthall!M15)</f>
        <v>6500</v>
      </c>
      <c r="H15" s="16">
        <f>IF($A15="","",Sporthall!N15)</f>
        <v>2</v>
      </c>
      <c r="I15" s="3" t="str">
        <f>IF($A15="","",Sporthall!I15)</f>
        <v>Nej</v>
      </c>
      <c r="J15" s="3" t="str">
        <f>IF($A15="","",IFERROR(Sporthall!O15,""))</f>
        <v>Vridreglage och enkel användning.</v>
      </c>
    </row>
    <row r="16" spans="1:10">
      <c r="A16" s="3" t="str">
        <f>IF(Sporthall!A16="Ja","Sporthall","")</f>
        <v>Sporthall</v>
      </c>
      <c r="B16" s="3" t="str">
        <f>IF($A16="","",Sporthall!B16)</f>
        <v>control</v>
      </c>
      <c r="C16" s="3" t="str">
        <f>IF($A16="","",Sporthall!C16)</f>
        <v>touch</v>
      </c>
      <c r="D16" s="3" t="str">
        <f>IF($A16="","",Sporthall!D16)</f>
        <v>control:touch</v>
      </c>
      <c r="E16" s="3" t="str">
        <f>IF($A16="","",Sporthall!E16)</f>
        <v>Styrning</v>
      </c>
      <c r="F16" s="3" t="str">
        <f>IF($A16="","",Sporthall!F16)</f>
        <v>Fast</v>
      </c>
      <c r="G16" s="15">
        <f>IF($A16="","",Sporthall!M16)</f>
        <v>29000</v>
      </c>
      <c r="H16" s="16">
        <f>IF($A16="","",Sporthall!N16)</f>
        <v>5</v>
      </c>
      <c r="I16" s="3" t="str">
        <f>IF($A16="","",Sporthall!I16)</f>
        <v>Nej</v>
      </c>
      <c r="J16" s="3" t="str">
        <f>IF($A16="","",IFERROR(Sporthall!O16,""))</f>
        <v>Touchpanel och tydliga användarlägen.</v>
      </c>
    </row>
    <row r="17" spans="1:10">
      <c r="A17" s="3" t="str">
        <f>IF(Sporthall!A17="Ja","Sporthall","")</f>
        <v>Sporthall</v>
      </c>
      <c r="B17" s="3" t="str">
        <f>IF($A17="","",Sporthall!B17)</f>
        <v>loopPlan</v>
      </c>
      <c r="C17" s="3" t="str">
        <f>IF($A17="","",Sporthall!C17)</f>
        <v>none</v>
      </c>
      <c r="D17" s="3" t="str">
        <f>IF($A17="","",Sporthall!D17)</f>
        <v>loopPlan:none</v>
      </c>
      <c r="E17" s="3" t="str">
        <f>IF($A17="","",Sporthall!E17)</f>
        <v>Hörslinga, Auracast och tillgänglighet</v>
      </c>
      <c r="F17" s="3" t="str">
        <f>IF($A17="","",Sporthall!F17)</f>
        <v>Fast</v>
      </c>
      <c r="G17" s="15">
        <f>IF($A17="","",Sporthall!M17)</f>
        <v>0</v>
      </c>
      <c r="H17" s="16">
        <f>IF($A17="","",Sporthall!N17)</f>
        <v>0</v>
      </c>
      <c r="I17" s="3" t="str">
        <f>IF($A17="","",Sporthall!I17)</f>
        <v>Nej</v>
      </c>
      <c r="J17" s="3">
        <f>IF($A17="","",IFERROR(Sporthall!O17,""))</f>
        <v>0</v>
      </c>
    </row>
    <row r="18" spans="1:10">
      <c r="A18" s="3" t="str">
        <f>IF(Sporthall!A18="Ja","Sporthall","")</f>
        <v>Sporthall</v>
      </c>
      <c r="B18" s="3" t="str">
        <f>IF($A18="","",Sporthall!B18)</f>
        <v>loopPlan</v>
      </c>
      <c r="C18" s="3" t="str">
        <f>IF($A18="","",Sporthall!C18)</f>
        <v>standard</v>
      </c>
      <c r="D18" s="3" t="str">
        <f>IF($A18="","",Sporthall!D18)</f>
        <v>loopPlan:standard</v>
      </c>
      <c r="E18" s="3" t="str">
        <f>IF($A18="","",Sporthall!E18)</f>
        <v>Hörslinga, Auracast och tillgänglighet</v>
      </c>
      <c r="F18" s="3" t="str">
        <f>IF($A18="","",Sporthall!F18)</f>
        <v>Fast</v>
      </c>
      <c r="G18" s="15">
        <f>IF($A18="","",Sporthall!M18)</f>
        <v>148000</v>
      </c>
      <c r="H18" s="16">
        <f>IF($A18="","",Sporthall!N18)</f>
        <v>36</v>
      </c>
      <c r="I18" s="3" t="str">
        <f>IF($A18="","",Sporthall!I18)</f>
        <v>Nej</v>
      </c>
      <c r="J18" s="3" t="str">
        <f>IF($A18="","",IFERROR(Sporthall!O18,""))</f>
        <v>Budgetpost för standardplan.</v>
      </c>
    </row>
    <row r="19" spans="1:10">
      <c r="A19" s="3" t="str">
        <f>IF(Sporthall!A19="Ja","Sporthall","")</f>
        <v>Sporthall</v>
      </c>
      <c r="B19" s="3" t="str">
        <f>IF($A19="","",Sporthall!B19)</f>
        <v>loopPlan</v>
      </c>
      <c r="C19" s="3" t="str">
        <f>IF($A19="","",Sporthall!C19)</f>
        <v>custom</v>
      </c>
      <c r="D19" s="3" t="str">
        <f>IF($A19="","",Sporthall!D19)</f>
        <v>loopPlan:custom</v>
      </c>
      <c r="E19" s="3" t="str">
        <f>IF($A19="","",Sporthall!E19)</f>
        <v>Hörslinga, Auracast och tillgänglighet</v>
      </c>
      <c r="F19" s="3" t="str">
        <f>IF($A19="","",Sporthall!F19)</f>
        <v>Offert</v>
      </c>
      <c r="G19" s="15">
        <f>IF($A19="","",Sporthall!M19)</f>
        <v>0</v>
      </c>
      <c r="H19" s="16">
        <f>IF($A19="","",Sporthall!N19)</f>
        <v>0</v>
      </c>
      <c r="I19" s="3" t="str">
        <f>IF($A19="","",Sporthall!I19)</f>
        <v>Ja</v>
      </c>
      <c r="J19" s="3" t="str">
        <f>IF($A19="","",IFERROR(Sporthall!O19,""))</f>
        <v>Annan planstorlek kräver separat offert.</v>
      </c>
    </row>
    <row r="20" spans="1:10">
      <c r="A20" s="3" t="str">
        <f>IF(Sporthall!A20="Ja","Sporthall","")</f>
        <v>Sporthall</v>
      </c>
      <c r="B20" s="3" t="str">
        <f>IF($A20="","",Sporthall!B20)</f>
        <v>auracast</v>
      </c>
      <c r="C20" s="3" t="str">
        <f>IF($A20="","",Sporthall!C20)</f>
        <v>none</v>
      </c>
      <c r="D20" s="3" t="str">
        <f>IF($A20="","",Sporthall!D20)</f>
        <v>auracast:none</v>
      </c>
      <c r="E20" s="3" t="str">
        <f>IF($A20="","",Sporthall!E20)</f>
        <v>Hörslinga, Auracast och tillgänglighet</v>
      </c>
      <c r="F20" s="3" t="str">
        <f>IF($A20="","",Sporthall!F20)</f>
        <v>Fast</v>
      </c>
      <c r="G20" s="15">
        <f>IF($A20="","",Sporthall!M20)</f>
        <v>0</v>
      </c>
      <c r="H20" s="16">
        <f>IF($A20="","",Sporthall!N20)</f>
        <v>0</v>
      </c>
      <c r="I20" s="3" t="str">
        <f>IF($A20="","",Sporthall!I20)</f>
        <v>Nej</v>
      </c>
      <c r="J20" s="3">
        <f>IF($A20="","",IFERROR(Sporthall!O20,""))</f>
        <v>0</v>
      </c>
    </row>
    <row r="21" spans="1:10">
      <c r="A21" s="3" t="str">
        <f>IF(Sporthall!A21="Ja","Sporthall","")</f>
        <v>Sporthall</v>
      </c>
      <c r="B21" s="3" t="str">
        <f>IF($A21="","",Sporthall!B21)</f>
        <v>auracast</v>
      </c>
      <c r="C21" s="3" t="str">
        <f>IF($A21="","",Sporthall!C21)</f>
        <v>basic</v>
      </c>
      <c r="D21" s="3" t="str">
        <f>IF($A21="","",Sporthall!D21)</f>
        <v>auracast:basic</v>
      </c>
      <c r="E21" s="3" t="str">
        <f>IF($A21="","",Sporthall!E21)</f>
        <v>Hörslinga, Auracast och tillgänglighet</v>
      </c>
      <c r="F21" s="3" t="str">
        <f>IF($A21="","",Sporthall!F21)</f>
        <v>Fast</v>
      </c>
      <c r="G21" s="15">
        <f>IF($A21="","",Sporthall!M21)</f>
        <v>36000</v>
      </c>
      <c r="H21" s="16">
        <f>IF($A21="","",Sporthall!N21)</f>
        <v>5</v>
      </c>
      <c r="I21" s="3" t="str">
        <f>IF($A21="","",Sporthall!I21)</f>
        <v>Nej</v>
      </c>
      <c r="J21" s="3" t="str">
        <f>IF($A21="","",IFERROR(Sporthall!O21,""))</f>
        <v>Auracast som komplement.</v>
      </c>
    </row>
    <row r="22" spans="1:10">
      <c r="A22" s="3" t="str">
        <f>IF(Sporthall!A22="Ja","Sporthall","")</f>
        <v>Sporthall</v>
      </c>
      <c r="B22" s="3" t="str">
        <f>IF($A22="","",Sporthall!B22)</f>
        <v>sti</v>
      </c>
      <c r="C22" s="3" t="str">
        <f>IF($A22="","",Sporthall!C22)</f>
        <v>none</v>
      </c>
      <c r="D22" s="3" t="str">
        <f>IF($A22="","",Sporthall!D22)</f>
        <v>sti:none</v>
      </c>
      <c r="E22" s="3" t="str">
        <f>IF($A22="","",Sporthall!E22)</f>
        <v>STI och inmätning</v>
      </c>
      <c r="F22" s="3" t="str">
        <f>IF($A22="","",Sporthall!F22)</f>
        <v>Fast</v>
      </c>
      <c r="G22" s="15">
        <f>IF($A22="","",Sporthall!M22)</f>
        <v>0</v>
      </c>
      <c r="H22" s="16">
        <f>IF($A22="","",Sporthall!N22)</f>
        <v>0</v>
      </c>
      <c r="I22" s="3" t="str">
        <f>IF($A22="","",Sporthall!I22)</f>
        <v>Nej</v>
      </c>
      <c r="J22" s="3">
        <f>IF($A22="","",IFERROR(Sporthall!O22,""))</f>
        <v>0</v>
      </c>
    </row>
    <row r="23" spans="1:10">
      <c r="A23" s="3" t="str">
        <f>IF(Sporthall!A23="Ja","Sporthall","")</f>
        <v>Sporthall</v>
      </c>
      <c r="B23" s="3" t="str">
        <f>IF($A23="","",Sporthall!B23)</f>
        <v>sti</v>
      </c>
      <c r="C23" s="3" t="str">
        <f>IF($A23="","",Sporthall!C23)</f>
        <v>050</v>
      </c>
      <c r="D23" s="3" t="str">
        <f>IF($A23="","",Sporthall!D23)</f>
        <v>sti:050</v>
      </c>
      <c r="E23" s="3" t="str">
        <f>IF($A23="","",Sporthall!E23)</f>
        <v>STI och inmätning</v>
      </c>
      <c r="F23" s="3" t="str">
        <f>IF($A23="","",Sporthall!F23)</f>
        <v>Fast</v>
      </c>
      <c r="G23" s="15">
        <f>IF($A23="","",Sporthall!M23)</f>
        <v>24000</v>
      </c>
      <c r="H23" s="16">
        <f>IF($A23="","",Sporthall!N23)</f>
        <v>8</v>
      </c>
      <c r="I23" s="3" t="str">
        <f>IF($A23="","",Sporthall!I23)</f>
        <v>Nej</v>
      </c>
      <c r="J23" s="3" t="str">
        <f>IF($A23="","",IFERROR(Sporthall!O23,""))</f>
        <v>Budgetpost för STI 0,50.</v>
      </c>
    </row>
    <row r="24" spans="1:10">
      <c r="A24" s="3" t="str">
        <f>IF(Sporthall!A24="Ja","Sporthall","")</f>
        <v>Sporthall</v>
      </c>
      <c r="B24" s="3" t="str">
        <f>IF($A24="","",Sporthall!B24)</f>
        <v>sti</v>
      </c>
      <c r="C24" s="3" t="str">
        <f>IF($A24="","",Sporthall!C24)</f>
        <v>060</v>
      </c>
      <c r="D24" s="3" t="str">
        <f>IF($A24="","",Sporthall!D24)</f>
        <v>sti:060</v>
      </c>
      <c r="E24" s="3" t="str">
        <f>IF($A24="","",Sporthall!E24)</f>
        <v>STI och inmätning</v>
      </c>
      <c r="F24" s="3" t="str">
        <f>IF($A24="","",Sporthall!F24)</f>
        <v>Fast</v>
      </c>
      <c r="G24" s="15">
        <f>IF($A24="","",Sporthall!M24)</f>
        <v>39000</v>
      </c>
      <c r="H24" s="16">
        <f>IF($A24="","",Sporthall!N24)</f>
        <v>12</v>
      </c>
      <c r="I24" s="3" t="str">
        <f>IF($A24="","",Sporthall!I24)</f>
        <v>Nej</v>
      </c>
      <c r="J24" s="3" t="str">
        <f>IF($A24="","",IFERROR(Sporthall!O24,""))</f>
        <v>Budgetpost för STI 0,60.</v>
      </c>
    </row>
    <row r="25" spans="1:10">
      <c r="A25" s="3" t="str">
        <f>IF(Sporthall!A25="Ja","Sporthall","")</f>
        <v>Sporthall</v>
      </c>
      <c r="B25" s="3" t="str">
        <f>IF($A25="","",Sporthall!B25)</f>
        <v>sti</v>
      </c>
      <c r="C25" s="3" t="str">
        <f>IF($A25="","",Sporthall!C25)</f>
        <v>070</v>
      </c>
      <c r="D25" s="3" t="str">
        <f>IF($A25="","",Sporthall!D25)</f>
        <v>sti:070</v>
      </c>
      <c r="E25" s="3" t="str">
        <f>IF($A25="","",Sporthall!E25)</f>
        <v>STI och inmätning</v>
      </c>
      <c r="F25" s="3" t="str">
        <f>IF($A25="","",Sporthall!F25)</f>
        <v>Offert</v>
      </c>
      <c r="G25" s="15">
        <f>IF($A25="","",Sporthall!M25)</f>
        <v>0</v>
      </c>
      <c r="H25" s="16">
        <f>IF($A25="","",Sporthall!N25)</f>
        <v>0</v>
      </c>
      <c r="I25" s="3" t="str">
        <f>IF($A25="","",Sporthall!I25)</f>
        <v>Ja</v>
      </c>
      <c r="J25" s="3" t="str">
        <f>IF($A25="","",IFERROR(Sporthall!O25,""))</f>
        <v>Högre STI-krav behöver separat projektering.</v>
      </c>
    </row>
    <row r="26" spans="1:10">
      <c r="A26" s="3" t="str">
        <f>IF(Sporthall!A26="Ja","Sporthall","")</f>
        <v>Sporthall</v>
      </c>
      <c r="B26" s="3" t="str">
        <f>IF($A26="","",Sporthall!B26)</f>
        <v>unit</v>
      </c>
      <c r="C26" s="3" t="str">
        <f>IF($A26="","",Sporthall!C26)</f>
        <v>handMic</v>
      </c>
      <c r="D26" s="3" t="str">
        <f>IF($A26="","",Sporthall!D26)</f>
        <v>unit:handMic</v>
      </c>
      <c r="E26" s="3" t="str">
        <f>IF($A26="","",Sporthall!E26)</f>
        <v>Mikrofoner och anslutning</v>
      </c>
      <c r="F26" s="3" t="str">
        <f>IF($A26="","",Sporthall!F26)</f>
        <v>Enhet</v>
      </c>
      <c r="G26" s="15">
        <f>IF($A26="","",Sporthall!M26)</f>
        <v>7900</v>
      </c>
      <c r="H26" s="16">
        <f>IF($A26="","",Sporthall!N26)</f>
        <v>0.5</v>
      </c>
      <c r="I26" s="3" t="str">
        <f>IF($A26="","",Sporthall!I26)</f>
        <v>Nej</v>
      </c>
      <c r="J26" s="3" t="str">
        <f>IF($A26="","",IFERROR(Sporthall!O26,""))</f>
        <v>Pris per trådlös handmikrofon.</v>
      </c>
    </row>
    <row r="27" spans="1:10">
      <c r="A27" s="3" t="str">
        <f>IF(Sporthall!A27="Ja","Sporthall","")</f>
        <v>Sporthall</v>
      </c>
      <c r="B27" s="3" t="str">
        <f>IF($A27="","",Sporthall!B27)</f>
        <v>unit</v>
      </c>
      <c r="C27" s="3" t="str">
        <f>IF($A27="","",Sporthall!C27)</f>
        <v>headset</v>
      </c>
      <c r="D27" s="3" t="str">
        <f>IF($A27="","",Sporthall!D27)</f>
        <v>unit:headset</v>
      </c>
      <c r="E27" s="3" t="str">
        <f>IF($A27="","",Sporthall!E27)</f>
        <v>Mikrofoner och anslutning</v>
      </c>
      <c r="F27" s="3" t="str">
        <f>IF($A27="","",Sporthall!F27)</f>
        <v>Enhet</v>
      </c>
      <c r="G27" s="15">
        <f>IF($A27="","",Sporthall!M27)</f>
        <v>9200</v>
      </c>
      <c r="H27" s="16">
        <f>IF($A27="","",Sporthall!N27)</f>
        <v>0.5</v>
      </c>
      <c r="I27" s="3" t="str">
        <f>IF($A27="","",Sporthall!I27)</f>
        <v>Nej</v>
      </c>
      <c r="J27" s="3" t="str">
        <f>IF($A27="","",IFERROR(Sporthall!O27,""))</f>
        <v>Pris per trådlöst headset.</v>
      </c>
    </row>
    <row r="28" spans="1:10">
      <c r="A28" s="3" t="str">
        <f>IF(Sporthall!A28="Ja","Sporthall","")</f>
        <v>Sporthall</v>
      </c>
      <c r="B28" s="3" t="str">
        <f>IF($A28="","",Sporthall!B28)</f>
        <v>unit</v>
      </c>
      <c r="C28" s="3" t="str">
        <f>IF($A28="","",Sporthall!C28)</f>
        <v>bluetooth</v>
      </c>
      <c r="D28" s="3" t="str">
        <f>IF($A28="","",Sporthall!D28)</f>
        <v>unit:bluetooth</v>
      </c>
      <c r="E28" s="3" t="str">
        <f>IF($A28="","",Sporthall!E28)</f>
        <v>Mikrofoner och anslutning</v>
      </c>
      <c r="F28" s="3" t="str">
        <f>IF($A28="","",Sporthall!F28)</f>
        <v>Enhet</v>
      </c>
      <c r="G28" s="15">
        <f>IF($A28="","",Sporthall!M28)</f>
        <v>4200</v>
      </c>
      <c r="H28" s="16">
        <f>IF($A28="","",Sporthall!N28)</f>
        <v>0.5</v>
      </c>
      <c r="I28" s="3" t="str">
        <f>IF($A28="","",Sporthall!I28)</f>
        <v>Nej</v>
      </c>
      <c r="J28" s="3" t="str">
        <f>IF($A28="","",IFERROR(Sporthall!O28,""))</f>
        <v>Pris per Bluetooth-mottagare.</v>
      </c>
    </row>
    <row r="29" spans="1:10">
      <c r="A29" s="3" t="str">
        <f>IF(Sporthall!A29="Ja","Sporthall","")</f>
        <v>Sporthall</v>
      </c>
      <c r="B29" s="3" t="str">
        <f>IF($A29="","",Sporthall!B29)</f>
        <v>unit</v>
      </c>
      <c r="C29" s="3" t="str">
        <f>IF($A29="","",Sporthall!C29)</f>
        <v>zoneSmall</v>
      </c>
      <c r="D29" s="3" t="str">
        <f>IF($A29="","",Sporthall!D29)</f>
        <v>unit:zoneSmall</v>
      </c>
      <c r="E29" s="3" t="str">
        <f>IF($A29="","",Sporthall!E29)</f>
        <v>Extra ljudzoner</v>
      </c>
      <c r="F29" s="3" t="str">
        <f>IF($A29="","",Sporthall!F29)</f>
        <v>Enhet</v>
      </c>
      <c r="G29" s="15">
        <f>IF($A29="","",Sporthall!M29)</f>
        <v>18500</v>
      </c>
      <c r="H29" s="16">
        <f>IF($A29="","",Sporthall!N29)</f>
        <v>6</v>
      </c>
      <c r="I29" s="3" t="str">
        <f>IF($A29="","",Sporthall!I29)</f>
        <v>Nej</v>
      </c>
      <c r="J29" s="3" t="str">
        <f>IF($A29="","",IFERROR(Sporthall!O29,""))</f>
        <v>Zon 20–50 m².</v>
      </c>
    </row>
    <row r="30" spans="1:10">
      <c r="A30" s="3" t="str">
        <f>IF(Sporthall!A30="Ja","Sporthall","")</f>
        <v>Sporthall</v>
      </c>
      <c r="B30" s="3" t="str">
        <f>IF($A30="","",Sporthall!B30)</f>
        <v>unit</v>
      </c>
      <c r="C30" s="3" t="str">
        <f>IF($A30="","",Sporthall!C30)</f>
        <v>zoneMedium</v>
      </c>
      <c r="D30" s="3" t="str">
        <f>IF($A30="","",Sporthall!D30)</f>
        <v>unit:zoneMedium</v>
      </c>
      <c r="E30" s="3" t="str">
        <f>IF($A30="","",Sporthall!E30)</f>
        <v>Extra ljudzoner</v>
      </c>
      <c r="F30" s="3" t="str">
        <f>IF($A30="","",Sporthall!F30)</f>
        <v>Enhet</v>
      </c>
      <c r="G30" s="15">
        <f>IF($A30="","",Sporthall!M30)</f>
        <v>29500</v>
      </c>
      <c r="H30" s="16">
        <f>IF($A30="","",Sporthall!N30)</f>
        <v>8</v>
      </c>
      <c r="I30" s="3" t="str">
        <f>IF($A30="","",Sporthall!I30)</f>
        <v>Nej</v>
      </c>
      <c r="J30" s="3" t="str">
        <f>IF($A30="","",IFERROR(Sporthall!O30,""))</f>
        <v>Zon 50–100 m².</v>
      </c>
    </row>
    <row r="31" spans="1:10">
      <c r="A31" s="3" t="str">
        <f>IF(Sporthall!A31="Ja","Sporthall","")</f>
        <v>Sporthall</v>
      </c>
      <c r="B31" s="3" t="str">
        <f>IF($A31="","",Sporthall!B31)</f>
        <v>unit</v>
      </c>
      <c r="C31" s="3" t="str">
        <f>IF($A31="","",Sporthall!C31)</f>
        <v>zoneLarge</v>
      </c>
      <c r="D31" s="3" t="str">
        <f>IF($A31="","",Sporthall!D31)</f>
        <v>unit:zoneLarge</v>
      </c>
      <c r="E31" s="3" t="str">
        <f>IF($A31="","",Sporthall!E31)</f>
        <v>Extra ljudzoner</v>
      </c>
      <c r="F31" s="3" t="str">
        <f>IF($A31="","",Sporthall!F31)</f>
        <v>Enhet</v>
      </c>
      <c r="G31" s="15">
        <f>IF($A31="","",Sporthall!M31)</f>
        <v>46000</v>
      </c>
      <c r="H31" s="16">
        <f>IF($A31="","",Sporthall!N31)</f>
        <v>12</v>
      </c>
      <c r="I31" s="3" t="str">
        <f>IF($A31="","",Sporthall!I31)</f>
        <v>Nej</v>
      </c>
      <c r="J31" s="3" t="str">
        <f>IF($A31="","",IFERROR(Sporthall!O31,""))</f>
        <v>Zon 100–200 m².</v>
      </c>
    </row>
    <row r="32" spans="1:10">
      <c r="A32" s="3" t="str">
        <f>IF(Sporthall!A32="Ja","Sporthall","")</f>
        <v>Sporthall</v>
      </c>
      <c r="B32" s="3" t="str">
        <f>IF($A32="","",Sporthall!B32)</f>
        <v>stands</v>
      </c>
      <c r="C32" s="3" t="str">
        <f>IF($A32="","",Sporthall!C32)</f>
        <v>small</v>
      </c>
      <c r="D32" s="3" t="str">
        <f>IF($A32="","",Sporthall!D32)</f>
        <v>stands:small</v>
      </c>
      <c r="E32" s="3" t="str">
        <f>IF($A32="","",Sporthall!E32)</f>
        <v>Läktare grundpaket</v>
      </c>
      <c r="F32" s="3" t="str">
        <f>IF($A32="","",Sporthall!F32)</f>
        <v>Fast</v>
      </c>
      <c r="G32" s="15">
        <f>IF($A32="","",Sporthall!M32)</f>
        <v>34000</v>
      </c>
      <c r="H32" s="16">
        <f>IF($A32="","",Sporthall!N32)</f>
        <v>8</v>
      </c>
      <c r="I32" s="3" t="str">
        <f>IF($A32="","",Sporthall!I32)</f>
        <v>Nej</v>
      </c>
      <c r="J32" s="3" t="str">
        <f>IF($A32="","",IFERROR(Sporthall!O32,""))</f>
        <v>Läktare 8–20 m², före tillgänglighetsmultiplikator.</v>
      </c>
    </row>
    <row r="33" spans="1:10">
      <c r="A33" s="3" t="str">
        <f>IF(Sporthall!A33="Ja","Sporthall","")</f>
        <v>Sporthall</v>
      </c>
      <c r="B33" s="3" t="str">
        <f>IF($A33="","",Sporthall!B33)</f>
        <v>stands</v>
      </c>
      <c r="C33" s="3" t="str">
        <f>IF($A33="","",Sporthall!C33)</f>
        <v>medium</v>
      </c>
      <c r="D33" s="3" t="str">
        <f>IF($A33="","",Sporthall!D33)</f>
        <v>stands:medium</v>
      </c>
      <c r="E33" s="3" t="str">
        <f>IF($A33="","",Sporthall!E33)</f>
        <v>Läktare grundpaket</v>
      </c>
      <c r="F33" s="3" t="str">
        <f>IF($A33="","",Sporthall!F33)</f>
        <v>Fast</v>
      </c>
      <c r="G33" s="15">
        <f>IF($A33="","",Sporthall!M33)</f>
        <v>52000</v>
      </c>
      <c r="H33" s="16">
        <f>IF($A33="","",Sporthall!N33)</f>
        <v>12</v>
      </c>
      <c r="I33" s="3" t="str">
        <f>IF($A33="","",Sporthall!I33)</f>
        <v>Nej</v>
      </c>
      <c r="J33" s="3" t="str">
        <f>IF($A33="","",IFERROR(Sporthall!O33,""))</f>
        <v>Läktare 20–40 m², före tillgänglighetsmultiplikator.</v>
      </c>
    </row>
    <row r="34" spans="1:10">
      <c r="A34" s="3" t="str">
        <f>IF(Sporthall!A34="Ja","Sporthall","")</f>
        <v>Sporthall</v>
      </c>
      <c r="B34" s="3" t="str">
        <f>IF($A34="","",Sporthall!B34)</f>
        <v>stands</v>
      </c>
      <c r="C34" s="3" t="str">
        <f>IF($A34="","",Sporthall!C34)</f>
        <v>large</v>
      </c>
      <c r="D34" s="3" t="str">
        <f>IF($A34="","",Sporthall!D34)</f>
        <v>stands:large</v>
      </c>
      <c r="E34" s="3" t="str">
        <f>IF($A34="","",Sporthall!E34)</f>
        <v>Läktare grundpaket</v>
      </c>
      <c r="F34" s="3" t="str">
        <f>IF($A34="","",Sporthall!F34)</f>
        <v>Fast</v>
      </c>
      <c r="G34" s="15">
        <f>IF($A34="","",Sporthall!M34)</f>
        <v>79000</v>
      </c>
      <c r="H34" s="16">
        <f>IF($A34="","",Sporthall!N34)</f>
        <v>18</v>
      </c>
      <c r="I34" s="3" t="str">
        <f>IF($A34="","",Sporthall!I34)</f>
        <v>Nej</v>
      </c>
      <c r="J34" s="3" t="str">
        <f>IF($A34="","",IFERROR(Sporthall!O34,""))</f>
        <v>Läktare 40–80 m², före tillgänglighetsmultiplikator.</v>
      </c>
    </row>
    <row r="35" spans="1:10">
      <c r="A35" s="3" t="str">
        <f>IF(Sporthall!A35="Ja","Sporthall","")</f>
        <v>Sporthall</v>
      </c>
      <c r="B35" s="3" t="str">
        <f>IF($A35="","",Sporthall!B35)</f>
        <v>stands</v>
      </c>
      <c r="C35" s="3" t="str">
        <f>IF($A35="","",Sporthall!C35)</f>
        <v>quote</v>
      </c>
      <c r="D35" s="3" t="str">
        <f>IF($A35="","",Sporthall!D35)</f>
        <v>stands:quote</v>
      </c>
      <c r="E35" s="3" t="str">
        <f>IF($A35="","",Sporthall!E35)</f>
        <v>Läktare grundpaket</v>
      </c>
      <c r="F35" s="3" t="str">
        <f>IF($A35="","",Sporthall!F35)</f>
        <v>Offert</v>
      </c>
      <c r="G35" s="15">
        <f>IF($A35="","",Sporthall!M35)</f>
        <v>0</v>
      </c>
      <c r="H35" s="16">
        <f>IF($A35="","",Sporthall!N35)</f>
        <v>0</v>
      </c>
      <c r="I35" s="3" t="str">
        <f>IF($A35="","",Sporthall!I35)</f>
        <v>Ja</v>
      </c>
      <c r="J35" s="3" t="str">
        <f>IF($A35="","",IFERROR(Sporthall!O35,""))</f>
        <v>Större än 80 m² kräver offert.</v>
      </c>
    </row>
    <row r="36" spans="1:10">
      <c r="A36" s="3" t="str">
        <f>IF(Sporthall!A36="Ja","Sporthall","")</f>
        <v>Sporthall</v>
      </c>
      <c r="B36" s="3" t="str">
        <f>IF($A36="","",Sporthall!B36)</f>
        <v>checks</v>
      </c>
      <c r="C36" s="3" t="str">
        <f>IF($A36="","",Sporthall!C36)</f>
        <v>ab04</v>
      </c>
      <c r="D36" s="3" t="str">
        <f>IF($A36="","",Sporthall!D36)</f>
        <v>checks:ab04</v>
      </c>
      <c r="E36" s="3" t="str">
        <f>IF($A36="","",Sporthall!E36)</f>
        <v>Entreprenad, dokumentation och krav</v>
      </c>
      <c r="F36" s="3" t="str">
        <f>IF($A36="","",Sporthall!F36)</f>
        <v>Regel</v>
      </c>
      <c r="G36" s="15">
        <f>IF($A36="","",Sporthall!M36)</f>
        <v>0</v>
      </c>
      <c r="H36" s="16">
        <f>IF($A36="","",Sporthall!N36)</f>
        <v>0</v>
      </c>
      <c r="I36" s="3" t="str">
        <f>IF($A36="","",Sporthall!I36)</f>
        <v>Nej</v>
      </c>
      <c r="J36" s="3" t="str">
        <f>IF($A36="","",IFERROR(Sporthall!O36,""))</f>
        <v>AB 04 markerat.</v>
      </c>
    </row>
    <row r="37" spans="1:10">
      <c r="A37" s="3" t="str">
        <f>IF(Sporthall!A37="Ja","Sporthall","")</f>
        <v>Sporthall</v>
      </c>
      <c r="B37" s="3" t="str">
        <f>IF($A37="","",Sporthall!B37)</f>
        <v>checks</v>
      </c>
      <c r="C37" s="3" t="str">
        <f>IF($A37="","",Sporthall!C37)</f>
        <v>abt06</v>
      </c>
      <c r="D37" s="3" t="str">
        <f>IF($A37="","",Sporthall!D37)</f>
        <v>checks:abt06</v>
      </c>
      <c r="E37" s="3" t="str">
        <f>IF($A37="","",Sporthall!E37)</f>
        <v>Entreprenad, dokumentation och krav</v>
      </c>
      <c r="F37" s="3" t="str">
        <f>IF($A37="","",Sporthall!F37)</f>
        <v>Regel</v>
      </c>
      <c r="G37" s="15">
        <f>IF($A37="","",Sporthall!M37)</f>
        <v>0</v>
      </c>
      <c r="H37" s="16">
        <f>IF($A37="","",Sporthall!N37)</f>
        <v>0</v>
      </c>
      <c r="I37" s="3" t="str">
        <f>IF($A37="","",Sporthall!I37)</f>
        <v>Nej</v>
      </c>
      <c r="J37" s="3" t="str">
        <f>IF($A37="","",IFERROR(Sporthall!O37,""))</f>
        <v>ABT 06 markerat.</v>
      </c>
    </row>
    <row r="38" spans="1:10">
      <c r="A38" s="3" t="str">
        <f>IF(Sporthall!A38="Ja","Sporthall","")</f>
        <v>Sporthall</v>
      </c>
      <c r="B38" s="3" t="str">
        <f>IF($A38="","",Sporthall!B38)</f>
        <v>checks</v>
      </c>
      <c r="C38" s="3" t="str">
        <f>IF($A38="","",Sporthall!C38)</f>
        <v>avabInstall</v>
      </c>
      <c r="D38" s="3" t="str">
        <f>IF($A38="","",Sporthall!D38)</f>
        <v>checks:avabInstall</v>
      </c>
      <c r="E38" s="3" t="str">
        <f>IF($A38="","",Sporthall!E38)</f>
        <v>Entreprenad, dokumentation och krav</v>
      </c>
      <c r="F38" s="3" t="str">
        <f>IF($A38="","",Sporthall!F38)</f>
        <v>Regel</v>
      </c>
      <c r="G38" s="15">
        <f>IF($A38="","",Sporthall!M38)</f>
        <v>0</v>
      </c>
      <c r="H38" s="16">
        <f>IF($A38="","",Sporthall!N38)</f>
        <v>0</v>
      </c>
      <c r="I38" s="3" t="str">
        <f>IF($A38="","",Sporthall!I38)</f>
        <v>Nej</v>
      </c>
      <c r="J38" s="3" t="str">
        <f>IF($A38="","",IFERROR(Sporthall!O38,""))</f>
        <v>AVAB installerar allt.</v>
      </c>
    </row>
    <row r="39" spans="1:10">
      <c r="A39" s="3" t="str">
        <f>IF(Sporthall!A39="Ja","Sporthall","")</f>
        <v>Sporthall</v>
      </c>
      <c r="B39" s="3" t="str">
        <f>IF($A39="","",Sporthall!B39)</f>
        <v>checks</v>
      </c>
      <c r="C39" s="3" t="str">
        <f>IF($A39="","",Sporthall!C39)</f>
        <v>electricianInstall</v>
      </c>
      <c r="D39" s="3" t="str">
        <f>IF($A39="","",Sporthall!D39)</f>
        <v>checks:electricianInstall</v>
      </c>
      <c r="E39" s="3" t="str">
        <f>IF($A39="","",Sporthall!E39)</f>
        <v>Entreprenad, dokumentation och krav</v>
      </c>
      <c r="F39" s="3" t="str">
        <f>IF($A39="","",Sporthall!F39)</f>
        <v>Regel</v>
      </c>
      <c r="G39" s="15">
        <f>IF($A39="","",Sporthall!M39)</f>
        <v>0</v>
      </c>
      <c r="H39" s="16">
        <f>IF($A39="","",Sporthall!N39)</f>
        <v>0</v>
      </c>
      <c r="I39" s="3" t="str">
        <f>IF($A39="","",Sporthall!I39)</f>
        <v>Nej</v>
      </c>
      <c r="J39" s="3" t="str">
        <f>IF($A39="","",IFERROR(Sporthall!O39,""))</f>
        <v>Elektriker installerar efter AVAB:s ritning.</v>
      </c>
    </row>
    <row r="40" spans="1:10">
      <c r="A40" s="3" t="str">
        <f>IF(Sporthall!A40="Ja","Sporthall","")</f>
        <v>Sporthall</v>
      </c>
      <c r="B40" s="3" t="str">
        <f>IF($A40="","",Sporthall!B40)</f>
        <v>checks</v>
      </c>
      <c r="C40" s="3" t="str">
        <f>IF($A40="","",Sporthall!C40)</f>
        <v>documentation</v>
      </c>
      <c r="D40" s="3" t="str">
        <f>IF($A40="","",Sporthall!D40)</f>
        <v>checks:documentation</v>
      </c>
      <c r="E40" s="3" t="str">
        <f>IF($A40="","",Sporthall!E40)</f>
        <v>Entreprenad, dokumentation och krav</v>
      </c>
      <c r="F40" s="3" t="str">
        <f>IF($A40="","",Sporthall!F40)</f>
        <v>Fast</v>
      </c>
      <c r="G40" s="15">
        <f>IF($A40="","",Sporthall!M40)</f>
        <v>12000</v>
      </c>
      <c r="H40" s="16">
        <f>IF($A40="","",Sporthall!N40)</f>
        <v>4</v>
      </c>
      <c r="I40" s="3" t="str">
        <f>IF($A40="","",Sporthall!I40)</f>
        <v>Nej</v>
      </c>
      <c r="J40" s="3" t="str">
        <f>IF($A40="","",IFERROR(Sporthall!O40,""))</f>
        <v>Relationshandling och dokumentation.</v>
      </c>
    </row>
    <row r="41" spans="1:10">
      <c r="A41" s="3" t="str">
        <f>IF(Sporthall!A41="Ja","Sporthall","")</f>
        <v>Sporthall</v>
      </c>
      <c r="B41" s="3" t="str">
        <f>IF($A41="","",Sporthall!B41)</f>
        <v>checks</v>
      </c>
      <c r="C41" s="3" t="str">
        <f>IF($A41="","",Sporthall!C41)</f>
        <v>fireAlarm</v>
      </c>
      <c r="D41" s="3" t="str">
        <f>IF($A41="","",Sporthall!D41)</f>
        <v>checks:fireAlarm</v>
      </c>
      <c r="E41" s="3" t="str">
        <f>IF($A41="","",Sporthall!E41)</f>
        <v>Entreprenad, dokumentation och krav</v>
      </c>
      <c r="F41" s="3" t="str">
        <f>IF($A41="","",Sporthall!F41)</f>
        <v>Regel</v>
      </c>
      <c r="G41" s="15">
        <f>IF($A41="","",Sporthall!M41)</f>
        <v>0</v>
      </c>
      <c r="H41" s="16">
        <f>IF($A41="","",Sporthall!N41)</f>
        <v>0</v>
      </c>
      <c r="I41" s="3" t="str">
        <f>IF($A41="","",Sporthall!I41)</f>
        <v>Nej</v>
      </c>
      <c r="J41" s="3" t="str">
        <f>IF($A41="","",IFERROR(Sporthall!O41,""))</f>
        <v>Brandlarm tystar ljudanläggningen.</v>
      </c>
    </row>
    <row r="42" spans="1:10" ht="28.5">
      <c r="A42" s="3" t="str">
        <f>IF(Sporthall!A42="Ja","Sporthall","")</f>
        <v>Sporthall</v>
      </c>
      <c r="B42" s="3" t="str">
        <f>IF($A42="","",Sporthall!B42)</f>
        <v>checks</v>
      </c>
      <c r="C42" s="3" t="str">
        <f>IF($A42="","",Sporthall!C42)</f>
        <v>quoteSystems</v>
      </c>
      <c r="D42" s="3" t="str">
        <f>IF($A42="","",Sporthall!D42)</f>
        <v>checks:quoteSystems</v>
      </c>
      <c r="E42" s="3" t="str">
        <f>IF($A42="","",Sporthall!E42)</f>
        <v>Entreprenad, dokumentation och krav</v>
      </c>
      <c r="F42" s="3" t="str">
        <f>IF($A42="","",Sporthall!F42)</f>
        <v>Offert</v>
      </c>
      <c r="G42" s="15">
        <f>IF($A42="","",Sporthall!M42)</f>
        <v>0</v>
      </c>
      <c r="H42" s="16">
        <f>IF($A42="","",Sporthall!N42)</f>
        <v>0</v>
      </c>
      <c r="I42" s="3" t="str">
        <f>IF($A42="","",Sporthall!I42)</f>
        <v>Ja</v>
      </c>
      <c r="J42" s="3" t="str">
        <f>IF($A42="","",IFERROR(Sporthall!O42,""))</f>
        <v>Rastsignal eller talat utrymningslarm kräver separat offert.</v>
      </c>
    </row>
    <row r="43" spans="1:10" ht="28.5">
      <c r="A43" s="3" t="str">
        <f>IF(Sporthall!A43="Ja","Sporthall","")</f>
        <v>Sporthall</v>
      </c>
      <c r="B43" s="3" t="str">
        <f>IF($A43="","",Sporthall!B43)</f>
        <v>checks</v>
      </c>
      <c r="C43" s="3" t="str">
        <f>IF($A43="","",Sporthall!C43)</f>
        <v>warranty5</v>
      </c>
      <c r="D43" s="3" t="str">
        <f>IF($A43="","",Sporthall!D43)</f>
        <v>checks:warranty5</v>
      </c>
      <c r="E43" s="3" t="str">
        <f>IF($A43="","",Sporthall!E43)</f>
        <v>Garanti och materialhantering</v>
      </c>
      <c r="F43" s="3" t="str">
        <f>IF($A43="","",Sporthall!F43)</f>
        <v>Procent</v>
      </c>
      <c r="G43" s="15">
        <f>IF($A43="","",Sporthall!M43)</f>
        <v>0</v>
      </c>
      <c r="H43" s="16">
        <f>IF($A43="","",Sporthall!N43)</f>
        <v>0</v>
      </c>
      <c r="I43" s="3" t="str">
        <f>IF($A43="","",Sporthall!I43)</f>
        <v>Nej</v>
      </c>
      <c r="J43" s="3" t="str">
        <f>IF($A43="","",IFERROR(Sporthall!O43,""))</f>
        <v>5 års garantitid. 10 % påslag på subtotal i nuvarande HTML-logik.</v>
      </c>
    </row>
    <row r="44" spans="1:10">
      <c r="A44" s="3" t="str">
        <f>IF(Sporthall!A44="Ja","Sporthall","")</f>
        <v/>
      </c>
      <c r="B44" s="3" t="str">
        <f>IF($A44="","",Sporthall!B44)</f>
        <v/>
      </c>
      <c r="C44" s="3" t="str">
        <f>IF($A44="","",Sporthall!C44)</f>
        <v/>
      </c>
      <c r="D44" s="3" t="str">
        <f>IF($A44="","",Sporthall!D44)</f>
        <v/>
      </c>
      <c r="E44" s="3" t="str">
        <f>IF($A44="","",Sporthall!E44)</f>
        <v/>
      </c>
      <c r="F44" s="3" t="str">
        <f>IF($A44="","",Sporthall!F44)</f>
        <v/>
      </c>
      <c r="G44" s="15" t="str">
        <f>IF($A44="","",Sporthall!M44)</f>
        <v/>
      </c>
      <c r="H44" s="16" t="str">
        <f>IF($A44="","",Sporthall!N44)</f>
        <v/>
      </c>
      <c r="I44" s="3" t="str">
        <f>IF($A44="","",Sporthall!I44)</f>
        <v/>
      </c>
      <c r="J44" s="3" t="str">
        <f>IF($A44="","",IFERROR(Sporthall!O44,""))</f>
        <v/>
      </c>
    </row>
    <row r="45" spans="1:10">
      <c r="A45" s="3" t="str">
        <f>IF(Sporthall!A45="Ja","Sporthall","")</f>
        <v/>
      </c>
      <c r="B45" s="3" t="str">
        <f>IF($A45="","",Sporthall!B45)</f>
        <v/>
      </c>
      <c r="C45" s="3" t="str">
        <f>IF($A45="","",Sporthall!C45)</f>
        <v/>
      </c>
      <c r="D45" s="3" t="str">
        <f>IF($A45="","",Sporthall!D45)</f>
        <v/>
      </c>
      <c r="E45" s="3" t="str">
        <f>IF($A45="","",Sporthall!E45)</f>
        <v/>
      </c>
      <c r="F45" s="3" t="str">
        <f>IF($A45="","",Sporthall!F45)</f>
        <v/>
      </c>
      <c r="G45" s="15" t="str">
        <f>IF($A45="","",Sporthall!M45)</f>
        <v/>
      </c>
      <c r="H45" s="16" t="str">
        <f>IF($A45="","",Sporthall!N45)</f>
        <v/>
      </c>
      <c r="I45" s="3" t="str">
        <f>IF($A45="","",Sporthall!I45)</f>
        <v/>
      </c>
      <c r="J45" s="3" t="str">
        <f>IF($A45="","",IFERROR(Sporthall!O45,""))</f>
        <v/>
      </c>
    </row>
    <row r="46" spans="1:10">
      <c r="A46" s="3" t="str">
        <f>IF(Sporthall!A46="Ja","Sporthall","")</f>
        <v/>
      </c>
      <c r="B46" s="3" t="str">
        <f>IF($A46="","",Sporthall!B46)</f>
        <v/>
      </c>
      <c r="C46" s="3" t="str">
        <f>IF($A46="","",Sporthall!C46)</f>
        <v/>
      </c>
      <c r="D46" s="3" t="str">
        <f>IF($A46="","",Sporthall!D46)</f>
        <v/>
      </c>
      <c r="E46" s="3" t="str">
        <f>IF($A46="","",Sporthall!E46)</f>
        <v/>
      </c>
      <c r="F46" s="3" t="str">
        <f>IF($A46="","",Sporthall!F46)</f>
        <v/>
      </c>
      <c r="G46" s="15" t="str">
        <f>IF($A46="","",Sporthall!M46)</f>
        <v/>
      </c>
      <c r="H46" s="16" t="str">
        <f>IF($A46="","",Sporthall!N46)</f>
        <v/>
      </c>
      <c r="I46" s="3" t="str">
        <f>IF($A46="","",Sporthall!I46)</f>
        <v/>
      </c>
      <c r="J46" s="3" t="str">
        <f>IF($A46="","",IFERROR(Sporthall!O46,""))</f>
        <v/>
      </c>
    </row>
    <row r="47" spans="1:10">
      <c r="A47" s="3" t="str">
        <f>IF(Simhall!A7="Ja","Simhall","")</f>
        <v>Simhall</v>
      </c>
      <c r="B47" s="3" t="str">
        <f>IF($A47="","",Simhall!B7)</f>
        <v>facilityType</v>
      </c>
      <c r="C47" s="3" t="str">
        <f>IF($A47="","",Simhall!C7)</f>
        <v>standard</v>
      </c>
      <c r="D47" s="3" t="str">
        <f>IF($A47="","",Simhall!D7)</f>
        <v>facilityType:standard</v>
      </c>
      <c r="E47" s="3" t="str">
        <f>IF($A47="","",Simhall!E7)</f>
        <v>Simhall – grundlogik</v>
      </c>
      <c r="F47" s="3" t="str">
        <f>IF($A47="","",Simhall!F7)</f>
        <v>Fast</v>
      </c>
      <c r="G47" s="15">
        <f>IF($A47="","",Simhall!M7)</f>
        <v>0</v>
      </c>
      <c r="H47" s="16">
        <f>IF($A47="","",Simhall!N7)</f>
        <v>0</v>
      </c>
      <c r="I47" s="3" t="str">
        <f>IF($A47="","",Simhall!I7)</f>
        <v>Nej</v>
      </c>
      <c r="J47" s="3" t="str">
        <f>IF($A47="","",IFERROR(Simhall!O7,""))</f>
        <v>Standard simhall. TESTSTARTVÄRDE.</v>
      </c>
    </row>
    <row r="48" spans="1:10" ht="28.5">
      <c r="A48" s="3" t="str">
        <f>IF(Simhall!A8="Ja","Simhall","")</f>
        <v>Simhall</v>
      </c>
      <c r="B48" s="3" t="str">
        <f>IF($A48="","",Simhall!B8)</f>
        <v>facilityType</v>
      </c>
      <c r="C48" s="3" t="str">
        <f>IF($A48="","",Simhall!C8)</f>
        <v>multi</v>
      </c>
      <c r="D48" s="3" t="str">
        <f>IF($A48="","",Simhall!D8)</f>
        <v>facilityType:multi</v>
      </c>
      <c r="E48" s="3" t="str">
        <f>IF($A48="","",Simhall!E8)</f>
        <v>Simhall – grundlogik</v>
      </c>
      <c r="F48" s="3" t="str">
        <f>IF($A48="","",Simhall!F8)</f>
        <v>Fast</v>
      </c>
      <c r="G48" s="15">
        <f>IF($A48="","",Simhall!M8)</f>
        <v>20000</v>
      </c>
      <c r="H48" s="16">
        <f>IF($A48="","",Simhall!N8)</f>
        <v>4</v>
      </c>
      <c r="I48" s="3" t="str">
        <f>IF($A48="","",Simhall!I8)</f>
        <v>Nej</v>
      </c>
      <c r="J48" s="3" t="str">
        <f>IF($A48="","",IFERROR(Simhall!O8,""))</f>
        <v>Flera bassänger/zoner. TESTSTARTVÄRDE – byt innan publicering.</v>
      </c>
    </row>
    <row r="49" spans="1:10">
      <c r="A49" s="3" t="str">
        <f>IF(Simhall!A9="Ja","Simhall","")</f>
        <v>Simhall</v>
      </c>
      <c r="B49" s="3" t="str">
        <f>IF($A49="","",Simhall!B9)</f>
        <v>basePackage</v>
      </c>
      <c r="C49" s="3" t="str">
        <f>IF($A49="","",Simhall!C9)</f>
        <v>standard</v>
      </c>
      <c r="D49" s="3" t="str">
        <f>IF($A49="","",Simhall!D9)</f>
        <v>basePackage:standard</v>
      </c>
      <c r="E49" s="3" t="str">
        <f>IF($A49="","",Simhall!E9)</f>
        <v>Basljud simhall</v>
      </c>
      <c r="F49" s="3" t="str">
        <f>IF($A49="","",Simhall!F9)</f>
        <v>Fast</v>
      </c>
      <c r="G49" s="15">
        <f>IF($A49="","",Simhall!M9)</f>
        <v>135000</v>
      </c>
      <c r="H49" s="16">
        <f>IF($A49="","",Simhall!N9)</f>
        <v>26</v>
      </c>
      <c r="I49" s="3" t="str">
        <f>IF($A49="","",Simhall!I9)</f>
        <v>Nej</v>
      </c>
      <c r="J49" s="3" t="str">
        <f>IF($A49="","",IFERROR(Simhall!O9,""))</f>
        <v>Grundpaket för simhallsmiljö. TESTSTARTVÄRDE.</v>
      </c>
    </row>
    <row r="50" spans="1:10">
      <c r="A50" s="3" t="str">
        <f>IF(Simhall!A10="Ja","Simhall","")</f>
        <v>Simhall</v>
      </c>
      <c r="B50" s="3" t="str">
        <f>IF($A50="","",Simhall!B10)</f>
        <v>basePackage</v>
      </c>
      <c r="C50" s="3" t="str">
        <f>IF($A50="","",Simhall!C10)</f>
        <v>dsp</v>
      </c>
      <c r="D50" s="3" t="str">
        <f>IF($A50="","",Simhall!D10)</f>
        <v>basePackage:dsp</v>
      </c>
      <c r="E50" s="3" t="str">
        <f>IF($A50="","",Simhall!E10)</f>
        <v>Basljud simhall med DSP</v>
      </c>
      <c r="F50" s="3" t="str">
        <f>IF($A50="","",Simhall!F10)</f>
        <v>Fast</v>
      </c>
      <c r="G50" s="15">
        <f>IF($A50="","",Simhall!M10)</f>
        <v>165000</v>
      </c>
      <c r="H50" s="16">
        <f>IF($A50="","",Simhall!N10)</f>
        <v>32</v>
      </c>
      <c r="I50" s="3" t="str">
        <f>IF($A50="","",Simhall!I10)</f>
        <v>Nej</v>
      </c>
      <c r="J50" s="3" t="str">
        <f>IF($A50="","",IFERROR(Simhall!O10,""))</f>
        <v>Fler zoner och styrlogik. TESTSTARTVÄRDE.</v>
      </c>
    </row>
    <row r="51" spans="1:10">
      <c r="A51" s="3" t="str">
        <f>IF(Simhall!A11="Ja","Simhall","")</f>
        <v>Simhall</v>
      </c>
      <c r="B51" s="3" t="str">
        <f>IF($A51="","",Simhall!B11)</f>
        <v>control</v>
      </c>
      <c r="C51" s="3" t="str">
        <f>IF($A51="","",Simhall!C11)</f>
        <v>knob</v>
      </c>
      <c r="D51" s="3" t="str">
        <f>IF($A51="","",Simhall!D11)</f>
        <v>control:knob</v>
      </c>
      <c r="E51" s="3" t="str">
        <f>IF($A51="","",Simhall!E11)</f>
        <v>Styrning</v>
      </c>
      <c r="F51" s="3" t="str">
        <f>IF($A51="","",Simhall!F11)</f>
        <v>Fast</v>
      </c>
      <c r="G51" s="15">
        <f>IF($A51="","",Simhall!M11)</f>
        <v>7500</v>
      </c>
      <c r="H51" s="16">
        <f>IF($A51="","",Simhall!N11)</f>
        <v>2</v>
      </c>
      <c r="I51" s="3" t="str">
        <f>IF($A51="","",Simhall!I11)</f>
        <v>Nej</v>
      </c>
      <c r="J51" s="3" t="str">
        <f>IF($A51="","",IFERROR(Simhall!O11,""))</f>
        <v>Enkel styrning. TESTSTARTVÄRDE.</v>
      </c>
    </row>
    <row r="52" spans="1:10">
      <c r="A52" s="3" t="str">
        <f>IF(Simhall!A12="Ja","Simhall","")</f>
        <v>Simhall</v>
      </c>
      <c r="B52" s="3" t="str">
        <f>IF($A52="","",Simhall!B12)</f>
        <v>control</v>
      </c>
      <c r="C52" s="3" t="str">
        <f>IF($A52="","",Simhall!C12)</f>
        <v>touch</v>
      </c>
      <c r="D52" s="3" t="str">
        <f>IF($A52="","",Simhall!D12)</f>
        <v>control:touch</v>
      </c>
      <c r="E52" s="3" t="str">
        <f>IF($A52="","",Simhall!E12)</f>
        <v>Styrning</v>
      </c>
      <c r="F52" s="3" t="str">
        <f>IF($A52="","",Simhall!F12)</f>
        <v>Fast</v>
      </c>
      <c r="G52" s="15">
        <f>IF($A52="","",Simhall!M12)</f>
        <v>32000</v>
      </c>
      <c r="H52" s="16">
        <f>IF($A52="","",Simhall!N12)</f>
        <v>6</v>
      </c>
      <c r="I52" s="3" t="str">
        <f>IF($A52="","",Simhall!I12)</f>
        <v>Nej</v>
      </c>
      <c r="J52" s="3" t="str">
        <f>IF($A52="","",IFERROR(Simhall!O12,""))</f>
        <v>Touchstyrning och zonlägen. TESTSTARTVÄRDE.</v>
      </c>
    </row>
    <row r="53" spans="1:10">
      <c r="A53" s="3" t="str">
        <f>IF(Simhall!A13="Ja","Simhall","")</f>
        <v>Simhall</v>
      </c>
      <c r="B53" s="3" t="str">
        <f>IF($A53="","",Simhall!B13)</f>
        <v>accessibility</v>
      </c>
      <c r="C53" s="3" t="str">
        <f>IF($A53="","",Simhall!C13)</f>
        <v>loopStandard</v>
      </c>
      <c r="D53" s="3" t="str">
        <f>IF($A53="","",Simhall!D13)</f>
        <v>accessibility:loopStandard</v>
      </c>
      <c r="E53" s="3" t="str">
        <f>IF($A53="","",Simhall!E13)</f>
        <v>Hörslinga simhall</v>
      </c>
      <c r="F53" s="3" t="str">
        <f>IF($A53="","",Simhall!F13)</f>
        <v>Fast</v>
      </c>
      <c r="G53" s="15">
        <f>IF($A53="","",Simhall!M13)</f>
        <v>165000</v>
      </c>
      <c r="H53" s="16">
        <f>IF($A53="","",Simhall!N13)</f>
        <v>40</v>
      </c>
      <c r="I53" s="3" t="str">
        <f>IF($A53="","",Simhall!I13)</f>
        <v>Nej</v>
      </c>
      <c r="J53" s="3" t="str">
        <f>IF($A53="","",IFERROR(Simhall!O13,""))</f>
        <v>Standardiserat testvärde för tillgänglighet.</v>
      </c>
    </row>
    <row r="54" spans="1:10">
      <c r="A54" s="3" t="str">
        <f>IF(Simhall!A14="Ja","Simhall","")</f>
        <v>Simhall</v>
      </c>
      <c r="B54" s="3" t="str">
        <f>IF($A54="","",Simhall!B14)</f>
        <v>accessibility</v>
      </c>
      <c r="C54" s="3" t="str">
        <f>IF($A54="","",Simhall!C14)</f>
        <v>auracast</v>
      </c>
      <c r="D54" s="3" t="str">
        <f>IF($A54="","",Simhall!D14)</f>
        <v>accessibility:auracast</v>
      </c>
      <c r="E54" s="3" t="str">
        <f>IF($A54="","",Simhall!E14)</f>
        <v>Auracast</v>
      </c>
      <c r="F54" s="3" t="str">
        <f>IF($A54="","",Simhall!F14)</f>
        <v>Fast</v>
      </c>
      <c r="G54" s="15">
        <f>IF($A54="","",Simhall!M14)</f>
        <v>39000</v>
      </c>
      <c r="H54" s="16">
        <f>IF($A54="","",Simhall!N14)</f>
        <v>5</v>
      </c>
      <c r="I54" s="3" t="str">
        <f>IF($A54="","",Simhall!I14)</f>
        <v>Nej</v>
      </c>
      <c r="J54" s="3" t="str">
        <f>IF($A54="","",IFERROR(Simhall!O14,""))</f>
        <v>Kompletterande ljuddistribution. TESTSTARTVÄRDE.</v>
      </c>
    </row>
    <row r="55" spans="1:10">
      <c r="A55" s="3" t="str">
        <f>IF(Simhall!A15="Ja","Simhall","")</f>
        <v>Simhall</v>
      </c>
      <c r="B55" s="3" t="str">
        <f>IF($A55="","",Simhall!B15)</f>
        <v>sti</v>
      </c>
      <c r="C55" s="3" t="str">
        <f>IF($A55="","",Simhall!C15)</f>
        <v>050</v>
      </c>
      <c r="D55" s="3" t="str">
        <f>IF($A55="","",Simhall!D15)</f>
        <v>sti:050</v>
      </c>
      <c r="E55" s="3" t="str">
        <f>IF($A55="","",Simhall!E15)</f>
        <v>STI och inmätning</v>
      </c>
      <c r="F55" s="3" t="str">
        <f>IF($A55="","",Simhall!F15)</f>
        <v>Fast</v>
      </c>
      <c r="G55" s="15">
        <f>IF($A55="","",Simhall!M15)</f>
        <v>28000</v>
      </c>
      <c r="H55" s="16">
        <f>IF($A55="","",Simhall!N15)</f>
        <v>8</v>
      </c>
      <c r="I55" s="3" t="str">
        <f>IF($A55="","",Simhall!I15)</f>
        <v>Nej</v>
      </c>
      <c r="J55" s="3" t="str">
        <f>IF($A55="","",IFERROR(Simhall!O15,""))</f>
        <v>STI 0,50. TESTSTARTVÄRDE.</v>
      </c>
    </row>
    <row r="56" spans="1:10">
      <c r="A56" s="3" t="str">
        <f>IF(Simhall!A16="Ja","Simhall","")</f>
        <v>Simhall</v>
      </c>
      <c r="B56" s="3" t="str">
        <f>IF($A56="","",Simhall!B16)</f>
        <v>sti</v>
      </c>
      <c r="C56" s="3" t="str">
        <f>IF($A56="","",Simhall!C16)</f>
        <v>060</v>
      </c>
      <c r="D56" s="3" t="str">
        <f>IF($A56="","",Simhall!D16)</f>
        <v>sti:060</v>
      </c>
      <c r="E56" s="3" t="str">
        <f>IF($A56="","",Simhall!E16)</f>
        <v>STI och inmätning</v>
      </c>
      <c r="F56" s="3" t="str">
        <f>IF($A56="","",Simhall!F16)</f>
        <v>Fast</v>
      </c>
      <c r="G56" s="15">
        <f>IF($A56="","",Simhall!M16)</f>
        <v>45000</v>
      </c>
      <c r="H56" s="16">
        <f>IF($A56="","",Simhall!N16)</f>
        <v>12</v>
      </c>
      <c r="I56" s="3" t="str">
        <f>IF($A56="","",Simhall!I16)</f>
        <v>Nej</v>
      </c>
      <c r="J56" s="3" t="str">
        <f>IF($A56="","",IFERROR(Simhall!O16,""))</f>
        <v>STI 0,60. TESTSTARTVÄRDE.</v>
      </c>
    </row>
    <row r="57" spans="1:10">
      <c r="A57" s="3" t="str">
        <f>IF(Simhall!A17="Ja","Simhall","")</f>
        <v>Simhall</v>
      </c>
      <c r="B57" s="3" t="str">
        <f>IF($A57="","",Simhall!B17)</f>
        <v>unit</v>
      </c>
      <c r="C57" s="3" t="str">
        <f>IF($A57="","",Simhall!C17)</f>
        <v>handMic</v>
      </c>
      <c r="D57" s="3" t="str">
        <f>IF($A57="","",Simhall!D17)</f>
        <v>unit:handMic</v>
      </c>
      <c r="E57" s="3" t="str">
        <f>IF($A57="","",Simhall!E17)</f>
        <v>Mikrofoner och anslutning</v>
      </c>
      <c r="F57" s="3" t="str">
        <f>IF($A57="","",Simhall!F17)</f>
        <v>Enhet</v>
      </c>
      <c r="G57" s="15">
        <f>IF($A57="","",Simhall!M17)</f>
        <v>8200</v>
      </c>
      <c r="H57" s="16">
        <f>IF($A57="","",Simhall!N17)</f>
        <v>0.5</v>
      </c>
      <c r="I57" s="3" t="str">
        <f>IF($A57="","",Simhall!I17)</f>
        <v>Nej</v>
      </c>
      <c r="J57" s="3" t="str">
        <f>IF($A57="","",IFERROR(Simhall!O17,""))</f>
        <v>Trådlös handmikrofon. TESTSTARTVÄRDE.</v>
      </c>
    </row>
    <row r="58" spans="1:10">
      <c r="A58" s="3" t="str">
        <f>IF(Simhall!A18="Ja","Simhall","")</f>
        <v>Simhall</v>
      </c>
      <c r="B58" s="3" t="str">
        <f>IF($A58="","",Simhall!B18)</f>
        <v>unit</v>
      </c>
      <c r="C58" s="3" t="str">
        <f>IF($A58="","",Simhall!C18)</f>
        <v>headset</v>
      </c>
      <c r="D58" s="3" t="str">
        <f>IF($A58="","",Simhall!D18)</f>
        <v>unit:headset</v>
      </c>
      <c r="E58" s="3" t="str">
        <f>IF($A58="","",Simhall!E18)</f>
        <v>Mikrofoner och anslutning</v>
      </c>
      <c r="F58" s="3" t="str">
        <f>IF($A58="","",Simhall!F18)</f>
        <v>Enhet</v>
      </c>
      <c r="G58" s="15">
        <f>IF($A58="","",Simhall!M18)</f>
        <v>9500</v>
      </c>
      <c r="H58" s="16">
        <f>IF($A58="","",Simhall!N18)</f>
        <v>0.5</v>
      </c>
      <c r="I58" s="3" t="str">
        <f>IF($A58="","",Simhall!I18)</f>
        <v>Nej</v>
      </c>
      <c r="J58" s="3" t="str">
        <f>IF($A58="","",IFERROR(Simhall!O18,""))</f>
        <v>Trådlöst headset. TESTSTARTVÄRDE.</v>
      </c>
    </row>
    <row r="59" spans="1:10">
      <c r="A59" s="3" t="str">
        <f>IF(Simhall!A19="Ja","Simhall","")</f>
        <v>Simhall</v>
      </c>
      <c r="B59" s="3" t="str">
        <f>IF($A59="","",Simhall!B19)</f>
        <v>unit</v>
      </c>
      <c r="C59" s="3" t="str">
        <f>IF($A59="","",Simhall!C19)</f>
        <v>bluetooth</v>
      </c>
      <c r="D59" s="3" t="str">
        <f>IF($A59="","",Simhall!D19)</f>
        <v>unit:bluetooth</v>
      </c>
      <c r="E59" s="3" t="str">
        <f>IF($A59="","",Simhall!E19)</f>
        <v>Mikrofoner och anslutning</v>
      </c>
      <c r="F59" s="3" t="str">
        <f>IF($A59="","",Simhall!F19)</f>
        <v>Enhet</v>
      </c>
      <c r="G59" s="15">
        <f>IF($A59="","",Simhall!M19)</f>
        <v>4500</v>
      </c>
      <c r="H59" s="16">
        <f>IF($A59="","",Simhall!N19)</f>
        <v>0.5</v>
      </c>
      <c r="I59" s="3" t="str">
        <f>IF($A59="","",Simhall!I19)</f>
        <v>Nej</v>
      </c>
      <c r="J59" s="3" t="str">
        <f>IF($A59="","",IFERROR(Simhall!O19,""))</f>
        <v>Bluetooth-mottagare. TESTSTARTVÄRDE.</v>
      </c>
    </row>
    <row r="60" spans="1:10">
      <c r="A60" s="3" t="str">
        <f>IF(Simhall!A20="Ja","Simhall","")</f>
        <v>Simhall</v>
      </c>
      <c r="B60" s="3" t="str">
        <f>IF($A60="","",Simhall!B20)</f>
        <v>unit</v>
      </c>
      <c r="C60" s="3" t="str">
        <f>IF($A60="","",Simhall!C20)</f>
        <v>zoneSmall</v>
      </c>
      <c r="D60" s="3" t="str">
        <f>IF($A60="","",Simhall!D20)</f>
        <v>unit:zoneSmall</v>
      </c>
      <c r="E60" s="3" t="str">
        <f>IF($A60="","",Simhall!E20)</f>
        <v>Extra ljudzoner</v>
      </c>
      <c r="F60" s="3" t="str">
        <f>IF($A60="","",Simhall!F20)</f>
        <v>Enhet</v>
      </c>
      <c r="G60" s="15">
        <f>IF($A60="","",Simhall!M20)</f>
        <v>21000</v>
      </c>
      <c r="H60" s="16">
        <f>IF($A60="","",Simhall!N20)</f>
        <v>6</v>
      </c>
      <c r="I60" s="3" t="str">
        <f>IF($A60="","",Simhall!I20)</f>
        <v>Nej</v>
      </c>
      <c r="J60" s="3" t="str">
        <f>IF($A60="","",IFERROR(Simhall!O20,""))</f>
        <v>Zon 20–50 m². TESTSTARTVÄRDE.</v>
      </c>
    </row>
    <row r="61" spans="1:10">
      <c r="A61" s="3" t="str">
        <f>IF(Simhall!A21="Ja","Simhall","")</f>
        <v>Simhall</v>
      </c>
      <c r="B61" s="3" t="str">
        <f>IF($A61="","",Simhall!B21)</f>
        <v>unit</v>
      </c>
      <c r="C61" s="3" t="str">
        <f>IF($A61="","",Simhall!C21)</f>
        <v>zoneMedium</v>
      </c>
      <c r="D61" s="3" t="str">
        <f>IF($A61="","",Simhall!D21)</f>
        <v>unit:zoneMedium</v>
      </c>
      <c r="E61" s="3" t="str">
        <f>IF($A61="","",Simhall!E21)</f>
        <v>Extra ljudzoner</v>
      </c>
      <c r="F61" s="3" t="str">
        <f>IF($A61="","",Simhall!F21)</f>
        <v>Enhet</v>
      </c>
      <c r="G61" s="15">
        <f>IF($A61="","",Simhall!M21)</f>
        <v>33000</v>
      </c>
      <c r="H61" s="16">
        <f>IF($A61="","",Simhall!N21)</f>
        <v>8</v>
      </c>
      <c r="I61" s="3" t="str">
        <f>IF($A61="","",Simhall!I21)</f>
        <v>Nej</v>
      </c>
      <c r="J61" s="3" t="str">
        <f>IF($A61="","",IFERROR(Simhall!O21,""))</f>
        <v>Zon 50–100 m². TESTSTARTVÄRDE.</v>
      </c>
    </row>
    <row r="62" spans="1:10">
      <c r="A62" s="3" t="str">
        <f>IF(Simhall!A22="Ja","Simhall","")</f>
        <v>Simhall</v>
      </c>
      <c r="B62" s="3" t="str">
        <f>IF($A62="","",Simhall!B22)</f>
        <v>unit</v>
      </c>
      <c r="C62" s="3" t="str">
        <f>IF($A62="","",Simhall!C22)</f>
        <v>zoneLarge</v>
      </c>
      <c r="D62" s="3" t="str">
        <f>IF($A62="","",Simhall!D22)</f>
        <v>unit:zoneLarge</v>
      </c>
      <c r="E62" s="3" t="str">
        <f>IF($A62="","",Simhall!E22)</f>
        <v>Extra ljudzoner</v>
      </c>
      <c r="F62" s="3" t="str">
        <f>IF($A62="","",Simhall!F22)</f>
        <v>Enhet</v>
      </c>
      <c r="G62" s="15">
        <f>IF($A62="","",Simhall!M22)</f>
        <v>50000</v>
      </c>
      <c r="H62" s="16">
        <f>IF($A62="","",Simhall!N22)</f>
        <v>12</v>
      </c>
      <c r="I62" s="3" t="str">
        <f>IF($A62="","",Simhall!I22)</f>
        <v>Nej</v>
      </c>
      <c r="J62" s="3" t="str">
        <f>IF($A62="","",IFERROR(Simhall!O22,""))</f>
        <v>Zon 100–200 m². TESTSTARTVÄRDE.</v>
      </c>
    </row>
    <row r="63" spans="1:10">
      <c r="A63" s="3" t="str">
        <f>IF(Simhall!A23="Ja","Simhall","")</f>
        <v>Simhall</v>
      </c>
      <c r="B63" s="3" t="str">
        <f>IF($A63="","",Simhall!B23)</f>
        <v>display</v>
      </c>
      <c r="C63" s="3" t="str">
        <f>IF($A63="","",Simhall!C23)</f>
        <v>infoScreen</v>
      </c>
      <c r="D63" s="3" t="str">
        <f>IF($A63="","",Simhall!D23)</f>
        <v>display:infoScreen</v>
      </c>
      <c r="E63" s="3" t="str">
        <f>IF($A63="","",Simhall!E23)</f>
        <v>Informationsskärm</v>
      </c>
      <c r="F63" s="3" t="str">
        <f>IF($A63="","",Simhall!F23)</f>
        <v>Fast</v>
      </c>
      <c r="G63" s="15">
        <f>IF($A63="","",Simhall!M23)</f>
        <v>28000</v>
      </c>
      <c r="H63" s="16">
        <f>IF($A63="","",Simhall!N23)</f>
        <v>4</v>
      </c>
      <c r="I63" s="3" t="str">
        <f>IF($A63="","",Simhall!I23)</f>
        <v>Nej</v>
      </c>
      <c r="J63" s="3" t="str">
        <f>IF($A63="","",IFERROR(Simhall!O23,""))</f>
        <v>Skärm och grundinstallation. TESTSTARTVÄRDE.</v>
      </c>
    </row>
    <row r="64" spans="1:10">
      <c r="A64" s="3" t="str">
        <f>IF(Simhall!A24="Ja","Simhall","")</f>
        <v>Simhall</v>
      </c>
      <c r="B64" s="3" t="str">
        <f>IF($A64="","",Simhall!B24)</f>
        <v>display</v>
      </c>
      <c r="C64" s="3" t="str">
        <f>IF($A64="","",Simhall!C24)</f>
        <v>projector</v>
      </c>
      <c r="D64" s="3" t="str">
        <f>IF($A64="","",Simhall!D24)</f>
        <v>display:projector</v>
      </c>
      <c r="E64" s="3" t="str">
        <f>IF($A64="","",Simhall!E24)</f>
        <v>Projektor/bild i multihall</v>
      </c>
      <c r="F64" s="3" t="str">
        <f>IF($A64="","",Simhall!F24)</f>
        <v>Fast</v>
      </c>
      <c r="G64" s="15">
        <f>IF($A64="","",Simhall!M24)</f>
        <v>65000</v>
      </c>
      <c r="H64" s="16">
        <f>IF($A64="","",Simhall!N24)</f>
        <v>8</v>
      </c>
      <c r="I64" s="3" t="str">
        <f>IF($A64="","",Simhall!I24)</f>
        <v>Nej</v>
      </c>
      <c r="J64" s="3" t="str">
        <f>IF($A64="","",IFERROR(Simhall!O24,""))</f>
        <v>Projektor/bildlösning. TESTSTARTVÄRDE.</v>
      </c>
    </row>
    <row r="65" spans="1:10">
      <c r="A65" s="3" t="str">
        <f>IF(Simhall!A25="Ja","Simhall","")</f>
        <v>Simhall</v>
      </c>
      <c r="B65" s="3" t="str">
        <f>IF($A65="","",Simhall!B25)</f>
        <v>checks</v>
      </c>
      <c r="C65" s="3" t="str">
        <f>IF($A65="","",Simhall!C25)</f>
        <v>documentation</v>
      </c>
      <c r="D65" s="3" t="str">
        <f>IF($A65="","",Simhall!D25)</f>
        <v>checks:documentation</v>
      </c>
      <c r="E65" s="3" t="str">
        <f>IF($A65="","",Simhall!E25)</f>
        <v>Relationshandling och dokumentation</v>
      </c>
      <c r="F65" s="3" t="str">
        <f>IF($A65="","",Simhall!F25)</f>
        <v>Fast</v>
      </c>
      <c r="G65" s="15">
        <f>IF($A65="","",Simhall!M25)</f>
        <v>14000</v>
      </c>
      <c r="H65" s="16">
        <f>IF($A65="","",Simhall!N25)</f>
        <v>4</v>
      </c>
      <c r="I65" s="3" t="str">
        <f>IF($A65="","",Simhall!I25)</f>
        <v>Nej</v>
      </c>
      <c r="J65" s="3" t="str">
        <f>IF($A65="","",IFERROR(Simhall!O25,""))</f>
        <v>TESTSTARTVÄRDE.</v>
      </c>
    </row>
    <row r="66" spans="1:10">
      <c r="A66" s="3" t="str">
        <f>IF(Simhall!A26="Ja","Simhall","")</f>
        <v>Simhall</v>
      </c>
      <c r="B66" s="3" t="str">
        <f>IF($A66="","",Simhall!B26)</f>
        <v>checks</v>
      </c>
      <c r="C66" s="3" t="str">
        <f>IF($A66="","",Simhall!C26)</f>
        <v>fireAlarm</v>
      </c>
      <c r="D66" s="3" t="str">
        <f>IF($A66="","",Simhall!D26)</f>
        <v>checks:fireAlarm</v>
      </c>
      <c r="E66" s="3" t="str">
        <f>IF($A66="","",Simhall!E26)</f>
        <v>Brandlarm tystar ljud</v>
      </c>
      <c r="F66" s="3" t="str">
        <f>IF($A66="","",Simhall!F26)</f>
        <v>Regel</v>
      </c>
      <c r="G66" s="15">
        <f>IF($A66="","",Simhall!M26)</f>
        <v>0</v>
      </c>
      <c r="H66" s="16">
        <f>IF($A66="","",Simhall!N26)</f>
        <v>0</v>
      </c>
      <c r="I66" s="3" t="str">
        <f>IF($A66="","",Simhall!I26)</f>
        <v>Nej</v>
      </c>
      <c r="J66" s="3" t="str">
        <f>IF($A66="","",IFERROR(Simhall!O26,""))</f>
        <v>Funktionsregel – inget separat startpris.</v>
      </c>
    </row>
    <row r="67" spans="1:10">
      <c r="A67" s="3" t="str">
        <f>IF(Simhall!A27="Ja","Simhall","")</f>
        <v>Simhall</v>
      </c>
      <c r="B67" s="3" t="str">
        <f>IF($A67="","",Simhall!B27)</f>
        <v>checks</v>
      </c>
      <c r="C67" s="3" t="str">
        <f>IF($A67="","",Simhall!C27)</f>
        <v>quoteSystems</v>
      </c>
      <c r="D67" s="3" t="str">
        <f>IF($A67="","",Simhall!D27)</f>
        <v>checks:quoteSystems</v>
      </c>
      <c r="E67" s="3" t="str">
        <f>IF($A67="","",Simhall!E27)</f>
        <v>Talat utrymningslarm</v>
      </c>
      <c r="F67" s="3" t="str">
        <f>IF($A67="","",Simhall!F27)</f>
        <v>Offert</v>
      </c>
      <c r="G67" s="15">
        <f>IF($A67="","",Simhall!M27)</f>
        <v>0</v>
      </c>
      <c r="H67" s="16">
        <f>IF($A67="","",Simhall!N27)</f>
        <v>0</v>
      </c>
      <c r="I67" s="3" t="str">
        <f>IF($A67="","",Simhall!I27)</f>
        <v>Ja</v>
      </c>
      <c r="J67" s="3" t="str">
        <f>IF($A67="","",IFERROR(Simhall!O27,""))</f>
        <v>Separat projektering/offert.</v>
      </c>
    </row>
    <row r="68" spans="1:10">
      <c r="A68" s="3" t="str">
        <f>IF(Simhall!A28="Ja","Simhall","")</f>
        <v>Simhall</v>
      </c>
      <c r="B68" s="3" t="str">
        <f>IF($A68="","",Simhall!B28)</f>
        <v>checks</v>
      </c>
      <c r="C68" s="3" t="str">
        <f>IF($A68="","",Simhall!C28)</f>
        <v>warranty5</v>
      </c>
      <c r="D68" s="3" t="str">
        <f>IF($A68="","",Simhall!D28)</f>
        <v>checks:warranty5</v>
      </c>
      <c r="E68" s="3" t="str">
        <f>IF($A68="","",Simhall!E28)</f>
        <v>Garanti och materialhantering</v>
      </c>
      <c r="F68" s="3" t="str">
        <f>IF($A68="","",Simhall!F28)</f>
        <v>Procent</v>
      </c>
      <c r="G68" s="15">
        <f>IF($A68="","",Simhall!M28)</f>
        <v>0</v>
      </c>
      <c r="H68" s="16">
        <f>IF($A68="","",Simhall!N28)</f>
        <v>0</v>
      </c>
      <c r="I68" s="3" t="str">
        <f>IF($A68="","",Simhall!I28)</f>
        <v>Nej</v>
      </c>
      <c r="J68" s="3" t="str">
        <f>IF($A68="","",IFERROR(Simhall!O28,""))</f>
        <v>10 % på subtotal som testregel.</v>
      </c>
    </row>
    <row r="69" spans="1:10">
      <c r="A69" s="3" t="str">
        <f>IF(Simhall!A29="Ja","Simhall","")</f>
        <v/>
      </c>
      <c r="B69" s="3" t="str">
        <f>IF($A69="","",Simhall!B29)</f>
        <v/>
      </c>
      <c r="C69" s="3" t="str">
        <f>IF($A69="","",Simhall!C29)</f>
        <v/>
      </c>
      <c r="D69" s="3" t="str">
        <f>IF($A69="","",Simhall!D29)</f>
        <v/>
      </c>
      <c r="E69" s="3" t="str">
        <f>IF($A69="","",Simhall!E29)</f>
        <v/>
      </c>
      <c r="F69" s="3" t="str">
        <f>IF($A69="","",Simhall!F29)</f>
        <v/>
      </c>
      <c r="G69" s="15" t="str">
        <f>IF($A69="","",Simhall!M29)</f>
        <v/>
      </c>
      <c r="H69" s="16" t="str">
        <f>IF($A69="","",Simhall!N29)</f>
        <v/>
      </c>
      <c r="I69" s="3" t="str">
        <f>IF($A69="","",Simhall!I29)</f>
        <v/>
      </c>
      <c r="J69" s="3" t="str">
        <f>IF($A69="","",IFERROR(Simhall!O29,""))</f>
        <v/>
      </c>
    </row>
    <row r="70" spans="1:10">
      <c r="A70" s="3" t="str">
        <f>IF(Simhall!A30="Ja","Simhall","")</f>
        <v/>
      </c>
      <c r="B70" s="3" t="str">
        <f>IF($A70="","",Simhall!B30)</f>
        <v/>
      </c>
      <c r="C70" s="3" t="str">
        <f>IF($A70="","",Simhall!C30)</f>
        <v/>
      </c>
      <c r="D70" s="3" t="str">
        <f>IF($A70="","",Simhall!D30)</f>
        <v/>
      </c>
      <c r="E70" s="3" t="str">
        <f>IF($A70="","",Simhall!E30)</f>
        <v/>
      </c>
      <c r="F70" s="3" t="str">
        <f>IF($A70="","",Simhall!F30)</f>
        <v/>
      </c>
      <c r="G70" s="15" t="str">
        <f>IF($A70="","",Simhall!M30)</f>
        <v/>
      </c>
      <c r="H70" s="16" t="str">
        <f>IF($A70="","",Simhall!N30)</f>
        <v/>
      </c>
      <c r="I70" s="3" t="str">
        <f>IF($A70="","",Simhall!I30)</f>
        <v/>
      </c>
      <c r="J70" s="3" t="str">
        <f>IF($A70="","",IFERROR(Simhall!O30,""))</f>
        <v/>
      </c>
    </row>
    <row r="71" spans="1:10">
      <c r="A71" s="3" t="str">
        <f>IF(Simhall!A31="Ja","Simhall","")</f>
        <v/>
      </c>
      <c r="B71" s="3" t="str">
        <f>IF($A71="","",Simhall!B31)</f>
        <v/>
      </c>
      <c r="C71" s="3" t="str">
        <f>IF($A71="","",Simhall!C31)</f>
        <v/>
      </c>
      <c r="D71" s="3" t="str">
        <f>IF($A71="","",Simhall!D31)</f>
        <v/>
      </c>
      <c r="E71" s="3" t="str">
        <f>IF($A71="","",Simhall!E31)</f>
        <v/>
      </c>
      <c r="F71" s="3" t="str">
        <f>IF($A71="","",Simhall!F31)</f>
        <v/>
      </c>
      <c r="G71" s="15" t="str">
        <f>IF($A71="","",Simhall!M31)</f>
        <v/>
      </c>
      <c r="H71" s="16" t="str">
        <f>IF($A71="","",Simhall!N31)</f>
        <v/>
      </c>
      <c r="I71" s="3" t="str">
        <f>IF($A71="","",Simhall!I31)</f>
        <v/>
      </c>
      <c r="J71" s="3" t="str">
        <f>IF($A71="","",IFERROR(Simhall!O31,""))</f>
        <v/>
      </c>
    </row>
    <row r="72" spans="1:10">
      <c r="A72" s="3" t="str">
        <f>IF(Simhall!A32="Ja","Simhall","")</f>
        <v/>
      </c>
      <c r="B72" s="3" t="str">
        <f>IF($A72="","",Simhall!B32)</f>
        <v/>
      </c>
      <c r="C72" s="3" t="str">
        <f>IF($A72="","",Simhall!C32)</f>
        <v/>
      </c>
      <c r="D72" s="3" t="str">
        <f>IF($A72="","",Simhall!D32)</f>
        <v/>
      </c>
      <c r="E72" s="3" t="str">
        <f>IF($A72="","",Simhall!E32)</f>
        <v/>
      </c>
      <c r="F72" s="3" t="str">
        <f>IF($A72="","",Simhall!F32)</f>
        <v/>
      </c>
      <c r="G72" s="15" t="str">
        <f>IF($A72="","",Simhall!M32)</f>
        <v/>
      </c>
      <c r="H72" s="16" t="str">
        <f>IF($A72="","",Simhall!N32)</f>
        <v/>
      </c>
      <c r="I72" s="3" t="str">
        <f>IF($A72="","",Simhall!I32)</f>
        <v/>
      </c>
      <c r="J72" s="3" t="str">
        <f>IF($A72="","",IFERROR(Simhall!O32,""))</f>
        <v/>
      </c>
    </row>
    <row r="73" spans="1:10">
      <c r="A73" s="3" t="str">
        <f>IF(Simhall!A33="Ja","Simhall","")</f>
        <v/>
      </c>
      <c r="B73" s="3" t="str">
        <f>IF($A73="","",Simhall!B33)</f>
        <v/>
      </c>
      <c r="C73" s="3" t="str">
        <f>IF($A73="","",Simhall!C33)</f>
        <v/>
      </c>
      <c r="D73" s="3" t="str">
        <f>IF($A73="","",Simhall!D33)</f>
        <v/>
      </c>
      <c r="E73" s="3" t="str">
        <f>IF($A73="","",Simhall!E33)</f>
        <v/>
      </c>
      <c r="F73" s="3" t="str">
        <f>IF($A73="","",Simhall!F33)</f>
        <v/>
      </c>
      <c r="G73" s="15" t="str">
        <f>IF($A73="","",Simhall!M33)</f>
        <v/>
      </c>
      <c r="H73" s="16" t="str">
        <f>IF($A73="","",Simhall!N33)</f>
        <v/>
      </c>
      <c r="I73" s="3" t="str">
        <f>IF($A73="","",Simhall!I33)</f>
        <v/>
      </c>
      <c r="J73" s="3" t="str">
        <f>IF($A73="","",IFERROR(Simhall!O33,""))</f>
        <v/>
      </c>
    </row>
    <row r="74" spans="1:10">
      <c r="A74" s="3" t="str">
        <f>IF(Simhall!A34="Ja","Simhall","")</f>
        <v/>
      </c>
      <c r="B74" s="3" t="str">
        <f>IF($A74="","",Simhall!B34)</f>
        <v/>
      </c>
      <c r="C74" s="3" t="str">
        <f>IF($A74="","",Simhall!C34)</f>
        <v/>
      </c>
      <c r="D74" s="3" t="str">
        <f>IF($A74="","",Simhall!D34)</f>
        <v/>
      </c>
      <c r="E74" s="3" t="str">
        <f>IF($A74="","",Simhall!E34)</f>
        <v/>
      </c>
      <c r="F74" s="3" t="str">
        <f>IF($A74="","",Simhall!F34)</f>
        <v/>
      </c>
      <c r="G74" s="15" t="str">
        <f>IF($A74="","",Simhall!M34)</f>
        <v/>
      </c>
      <c r="H74" s="16" t="str">
        <f>IF($A74="","",Simhall!N34)</f>
        <v/>
      </c>
      <c r="I74" s="3" t="str">
        <f>IF($A74="","",Simhall!I34)</f>
        <v/>
      </c>
      <c r="J74" s="3" t="str">
        <f>IF($A74="","",IFERROR(Simhall!O34,""))</f>
        <v/>
      </c>
    </row>
    <row r="75" spans="1:10">
      <c r="A75" s="3" t="str">
        <f>IF(Simhall!A35="Ja","Simhall","")</f>
        <v/>
      </c>
      <c r="B75" s="3" t="str">
        <f>IF($A75="","",Simhall!B35)</f>
        <v/>
      </c>
      <c r="C75" s="3" t="str">
        <f>IF($A75="","",Simhall!C35)</f>
        <v/>
      </c>
      <c r="D75" s="3" t="str">
        <f>IF($A75="","",Simhall!D35)</f>
        <v/>
      </c>
      <c r="E75" s="3" t="str">
        <f>IF($A75="","",Simhall!E35)</f>
        <v/>
      </c>
      <c r="F75" s="3" t="str">
        <f>IF($A75="","",Simhall!F35)</f>
        <v/>
      </c>
      <c r="G75" s="15" t="str">
        <f>IF($A75="","",Simhall!M35)</f>
        <v/>
      </c>
      <c r="H75" s="16" t="str">
        <f>IF($A75="","",Simhall!N35)</f>
        <v/>
      </c>
      <c r="I75" s="3" t="str">
        <f>IF($A75="","",Simhall!I35)</f>
        <v/>
      </c>
      <c r="J75" s="3" t="str">
        <f>IF($A75="","",IFERROR(Simhall!O35,""))</f>
        <v/>
      </c>
    </row>
    <row r="76" spans="1:10">
      <c r="A76" s="3" t="str">
        <f>IF(Simhall!A36="Ja","Simhall","")</f>
        <v/>
      </c>
      <c r="B76" s="3" t="str">
        <f>IF($A76="","",Simhall!B36)</f>
        <v/>
      </c>
      <c r="C76" s="3" t="str">
        <f>IF($A76="","",Simhall!C36)</f>
        <v/>
      </c>
      <c r="D76" s="3" t="str">
        <f>IF($A76="","",Simhall!D36)</f>
        <v/>
      </c>
      <c r="E76" s="3" t="str">
        <f>IF($A76="","",Simhall!E36)</f>
        <v/>
      </c>
      <c r="F76" s="3" t="str">
        <f>IF($A76="","",Simhall!F36)</f>
        <v/>
      </c>
      <c r="G76" s="15" t="str">
        <f>IF($A76="","",Simhall!M36)</f>
        <v/>
      </c>
      <c r="H76" s="16" t="str">
        <f>IF($A76="","",Simhall!N36)</f>
        <v/>
      </c>
      <c r="I76" s="3" t="str">
        <f>IF($A76="","",Simhall!I36)</f>
        <v/>
      </c>
      <c r="J76" s="3" t="str">
        <f>IF($A76="","",IFERROR(Simhall!O36,""))</f>
        <v/>
      </c>
    </row>
    <row r="77" spans="1:10">
      <c r="A77" s="3" t="str">
        <f>IF(Simhall!A37="Ja","Simhall","")</f>
        <v/>
      </c>
      <c r="B77" s="3" t="str">
        <f>IF($A77="","",Simhall!B37)</f>
        <v/>
      </c>
      <c r="C77" s="3" t="str">
        <f>IF($A77="","",Simhall!C37)</f>
        <v/>
      </c>
      <c r="D77" s="3" t="str">
        <f>IF($A77="","",Simhall!D37)</f>
        <v/>
      </c>
      <c r="E77" s="3" t="str">
        <f>IF($A77="","",Simhall!E37)</f>
        <v/>
      </c>
      <c r="F77" s="3" t="str">
        <f>IF($A77="","",Simhall!F37)</f>
        <v/>
      </c>
      <c r="G77" s="15" t="str">
        <f>IF($A77="","",Simhall!M37)</f>
        <v/>
      </c>
      <c r="H77" s="16" t="str">
        <f>IF($A77="","",Simhall!N37)</f>
        <v/>
      </c>
      <c r="I77" s="3" t="str">
        <f>IF($A77="","",Simhall!I37)</f>
        <v/>
      </c>
      <c r="J77" s="3" t="str">
        <f>IF($A77="","",IFERROR(Simhall!O37,""))</f>
        <v/>
      </c>
    </row>
    <row r="78" spans="1:10">
      <c r="A78" s="3" t="str">
        <f>IF(Simhall!A38="Ja","Simhall","")</f>
        <v/>
      </c>
      <c r="B78" s="3" t="str">
        <f>IF($A78="","",Simhall!B38)</f>
        <v/>
      </c>
      <c r="C78" s="3" t="str">
        <f>IF($A78="","",Simhall!C38)</f>
        <v/>
      </c>
      <c r="D78" s="3" t="str">
        <f>IF($A78="","",Simhall!D38)</f>
        <v/>
      </c>
      <c r="E78" s="3" t="str">
        <f>IF($A78="","",Simhall!E38)</f>
        <v/>
      </c>
      <c r="F78" s="3" t="str">
        <f>IF($A78="","",Simhall!F38)</f>
        <v/>
      </c>
      <c r="G78" s="15" t="str">
        <f>IF($A78="","",Simhall!M38)</f>
        <v/>
      </c>
      <c r="H78" s="16" t="str">
        <f>IF($A78="","",Simhall!N38)</f>
        <v/>
      </c>
      <c r="I78" s="3" t="str">
        <f>IF($A78="","",Simhall!I38)</f>
        <v/>
      </c>
      <c r="J78" s="3" t="str">
        <f>IF($A78="","",IFERROR(Simhall!O38,""))</f>
        <v/>
      </c>
    </row>
    <row r="79" spans="1:10">
      <c r="A79" s="3" t="str">
        <f>IF(Simhall!A39="Ja","Simhall","")</f>
        <v/>
      </c>
      <c r="B79" s="3" t="str">
        <f>IF($A79="","",Simhall!B39)</f>
        <v/>
      </c>
      <c r="C79" s="3" t="str">
        <f>IF($A79="","",Simhall!C39)</f>
        <v/>
      </c>
      <c r="D79" s="3" t="str">
        <f>IF($A79="","",Simhall!D39)</f>
        <v/>
      </c>
      <c r="E79" s="3" t="str">
        <f>IF($A79="","",Simhall!E39)</f>
        <v/>
      </c>
      <c r="F79" s="3" t="str">
        <f>IF($A79="","",Simhall!F39)</f>
        <v/>
      </c>
      <c r="G79" s="15" t="str">
        <f>IF($A79="","",Simhall!M39)</f>
        <v/>
      </c>
      <c r="H79" s="16" t="str">
        <f>IF($A79="","",Simhall!N39)</f>
        <v/>
      </c>
      <c r="I79" s="3" t="str">
        <f>IF($A79="","",Simhall!I39)</f>
        <v/>
      </c>
      <c r="J79" s="3" t="str">
        <f>IF($A79="","",IFERROR(Simhall!O39,""))</f>
        <v/>
      </c>
    </row>
    <row r="80" spans="1:10">
      <c r="A80" s="3" t="str">
        <f>IF(Simhall!A40="Ja","Simhall","")</f>
        <v/>
      </c>
      <c r="B80" s="3" t="str">
        <f>IF($A80="","",Simhall!B40)</f>
        <v/>
      </c>
      <c r="C80" s="3" t="str">
        <f>IF($A80="","",Simhall!C40)</f>
        <v/>
      </c>
      <c r="D80" s="3" t="str">
        <f>IF($A80="","",Simhall!D40)</f>
        <v/>
      </c>
      <c r="E80" s="3" t="str">
        <f>IF($A80="","",Simhall!E40)</f>
        <v/>
      </c>
      <c r="F80" s="3" t="str">
        <f>IF($A80="","",Simhall!F40)</f>
        <v/>
      </c>
      <c r="G80" s="15" t="str">
        <f>IF($A80="","",Simhall!M40)</f>
        <v/>
      </c>
      <c r="H80" s="16" t="str">
        <f>IF($A80="","",Simhall!N40)</f>
        <v/>
      </c>
      <c r="I80" s="3" t="str">
        <f>IF($A80="","",Simhall!I40)</f>
        <v/>
      </c>
      <c r="J80" s="3" t="str">
        <f>IF($A80="","",IFERROR(Simhall!O40,""))</f>
        <v/>
      </c>
    </row>
    <row r="81" spans="1:10">
      <c r="A81" s="3" t="str">
        <f>IF(Simhall!A41="Ja","Simhall","")</f>
        <v/>
      </c>
      <c r="B81" s="3" t="str">
        <f>IF($A81="","",Simhall!B41)</f>
        <v/>
      </c>
      <c r="C81" s="3" t="str">
        <f>IF($A81="","",Simhall!C41)</f>
        <v/>
      </c>
      <c r="D81" s="3" t="str">
        <f>IF($A81="","",Simhall!D41)</f>
        <v/>
      </c>
      <c r="E81" s="3" t="str">
        <f>IF($A81="","",Simhall!E41)</f>
        <v/>
      </c>
      <c r="F81" s="3" t="str">
        <f>IF($A81="","",Simhall!F41)</f>
        <v/>
      </c>
      <c r="G81" s="15" t="str">
        <f>IF($A81="","",Simhall!M41)</f>
        <v/>
      </c>
      <c r="H81" s="16" t="str">
        <f>IF($A81="","",Simhall!N41)</f>
        <v/>
      </c>
      <c r="I81" s="3" t="str">
        <f>IF($A81="","",Simhall!I41)</f>
        <v/>
      </c>
      <c r="J81" s="3" t="str">
        <f>IF($A81="","",IFERROR(Simhall!O41,""))</f>
        <v/>
      </c>
    </row>
    <row r="82" spans="1:10">
      <c r="A82" s="3" t="str">
        <f>IF(Simhall!A42="Ja","Simhall","")</f>
        <v/>
      </c>
      <c r="B82" s="3" t="str">
        <f>IF($A82="","",Simhall!B42)</f>
        <v/>
      </c>
      <c r="C82" s="3" t="str">
        <f>IF($A82="","",Simhall!C42)</f>
        <v/>
      </c>
      <c r="D82" s="3" t="str">
        <f>IF($A82="","",Simhall!D42)</f>
        <v/>
      </c>
      <c r="E82" s="3" t="str">
        <f>IF($A82="","",Simhall!E42)</f>
        <v/>
      </c>
      <c r="F82" s="3" t="str">
        <f>IF($A82="","",Simhall!F42)</f>
        <v/>
      </c>
      <c r="G82" s="15" t="str">
        <f>IF($A82="","",Simhall!M42)</f>
        <v/>
      </c>
      <c r="H82" s="16" t="str">
        <f>IF($A82="","",Simhall!N42)</f>
        <v/>
      </c>
      <c r="I82" s="3" t="str">
        <f>IF($A82="","",Simhall!I42)</f>
        <v/>
      </c>
      <c r="J82" s="3" t="str">
        <f>IF($A82="","",IFERROR(Simhall!O42,""))</f>
        <v/>
      </c>
    </row>
    <row r="83" spans="1:10">
      <c r="A83" s="3" t="str">
        <f>IF(Simhall!A43="Ja","Simhall","")</f>
        <v/>
      </c>
      <c r="B83" s="3" t="str">
        <f>IF($A83="","",Simhall!B43)</f>
        <v/>
      </c>
      <c r="C83" s="3" t="str">
        <f>IF($A83="","",Simhall!C43)</f>
        <v/>
      </c>
      <c r="D83" s="3" t="str">
        <f>IF($A83="","",Simhall!D43)</f>
        <v/>
      </c>
      <c r="E83" s="3" t="str">
        <f>IF($A83="","",Simhall!E43)</f>
        <v/>
      </c>
      <c r="F83" s="3" t="str">
        <f>IF($A83="","",Simhall!F43)</f>
        <v/>
      </c>
      <c r="G83" s="15" t="str">
        <f>IF($A83="","",Simhall!M43)</f>
        <v/>
      </c>
      <c r="H83" s="16" t="str">
        <f>IF($A83="","",Simhall!N43)</f>
        <v/>
      </c>
      <c r="I83" s="3" t="str">
        <f>IF($A83="","",Simhall!I43)</f>
        <v/>
      </c>
      <c r="J83" s="3" t="str">
        <f>IF($A83="","",IFERROR(Simhall!O43,""))</f>
        <v/>
      </c>
    </row>
    <row r="84" spans="1:10">
      <c r="A84" s="3" t="str">
        <f>IF(Simhall!A44="Ja","Simhall","")</f>
        <v/>
      </c>
      <c r="B84" s="3" t="str">
        <f>IF($A84="","",Simhall!B44)</f>
        <v/>
      </c>
      <c r="C84" s="3" t="str">
        <f>IF($A84="","",Simhall!C44)</f>
        <v/>
      </c>
      <c r="D84" s="3" t="str">
        <f>IF($A84="","",Simhall!D44)</f>
        <v/>
      </c>
      <c r="E84" s="3" t="str">
        <f>IF($A84="","",Simhall!E44)</f>
        <v/>
      </c>
      <c r="F84" s="3" t="str">
        <f>IF($A84="","",Simhall!F44)</f>
        <v/>
      </c>
      <c r="G84" s="15" t="str">
        <f>IF($A84="","",Simhall!M44)</f>
        <v/>
      </c>
      <c r="H84" s="16" t="str">
        <f>IF($A84="","",Simhall!N44)</f>
        <v/>
      </c>
      <c r="I84" s="3" t="str">
        <f>IF($A84="","",Simhall!I44)</f>
        <v/>
      </c>
      <c r="J84" s="3" t="str">
        <f>IF($A84="","",IFERROR(Simhall!O44,""))</f>
        <v/>
      </c>
    </row>
    <row r="85" spans="1:10">
      <c r="A85" s="3" t="str">
        <f>IF(Simhall!A45="Ja","Simhall","")</f>
        <v/>
      </c>
      <c r="B85" s="3" t="str">
        <f>IF($A85="","",Simhall!B45)</f>
        <v/>
      </c>
      <c r="C85" s="3" t="str">
        <f>IF($A85="","",Simhall!C45)</f>
        <v/>
      </c>
      <c r="D85" s="3" t="str">
        <f>IF($A85="","",Simhall!D45)</f>
        <v/>
      </c>
      <c r="E85" s="3" t="str">
        <f>IF($A85="","",Simhall!E45)</f>
        <v/>
      </c>
      <c r="F85" s="3" t="str">
        <f>IF($A85="","",Simhall!F45)</f>
        <v/>
      </c>
      <c r="G85" s="15" t="str">
        <f>IF($A85="","",Simhall!M45)</f>
        <v/>
      </c>
      <c r="H85" s="16" t="str">
        <f>IF($A85="","",Simhall!N45)</f>
        <v/>
      </c>
      <c r="I85" s="3" t="str">
        <f>IF($A85="","",Simhall!I45)</f>
        <v/>
      </c>
      <c r="J85" s="3" t="str">
        <f>IF($A85="","",IFERROR(Simhall!O45,""))</f>
        <v/>
      </c>
    </row>
    <row r="86" spans="1:10">
      <c r="A86" s="3" t="str">
        <f>IF(Simhall!A46="Ja","Simhall","")</f>
        <v/>
      </c>
      <c r="B86" s="3" t="str">
        <f>IF($A86="","",Simhall!B46)</f>
        <v/>
      </c>
      <c r="C86" s="3" t="str">
        <f>IF($A86="","",Simhall!C46)</f>
        <v/>
      </c>
      <c r="D86" s="3" t="str">
        <f>IF($A86="","",Simhall!D46)</f>
        <v/>
      </c>
      <c r="E86" s="3" t="str">
        <f>IF($A86="","",Simhall!E46)</f>
        <v/>
      </c>
      <c r="F86" s="3" t="str">
        <f>IF($A86="","",Simhall!F46)</f>
        <v/>
      </c>
      <c r="G86" s="15" t="str">
        <f>IF($A86="","",Simhall!M46)</f>
        <v/>
      </c>
      <c r="H86" s="16" t="str">
        <f>IF($A86="","",Simhall!N46)</f>
        <v/>
      </c>
      <c r="I86" s="3" t="str">
        <f>IF($A86="","",Simhall!I46)</f>
        <v/>
      </c>
      <c r="J86" s="3" t="str">
        <f>IF($A86="","",IFERROR(Simhall!O46,""))</f>
        <v/>
      </c>
    </row>
    <row r="87" spans="1:10">
      <c r="A87" s="3" t="str">
        <f>IF(Konferens!A7="Ja","Konferens","")</f>
        <v>Konferens</v>
      </c>
      <c r="B87" s="3" t="str">
        <f>IF($A87="","",Konferens!B7)</f>
        <v>roomType</v>
      </c>
      <c r="C87" s="3" t="str">
        <f>IF($A87="","",Konferens!C7)</f>
        <v>small</v>
      </c>
      <c r="D87" s="3" t="str">
        <f>IF($A87="","",Konferens!D7)</f>
        <v>roomType:small</v>
      </c>
      <c r="E87" s="3" t="str">
        <f>IF($A87="","",Konferens!E7)</f>
        <v>Rumstyp och grundlogik</v>
      </c>
      <c r="F87" s="3" t="str">
        <f>IF($A87="","",Konferens!F7)</f>
        <v>Fast</v>
      </c>
      <c r="G87" s="15">
        <f>IF($A87="","",Konferens!M7)</f>
        <v>0</v>
      </c>
      <c r="H87" s="16">
        <f>IF($A87="","",Konferens!N7)</f>
        <v>0</v>
      </c>
      <c r="I87" s="3" t="str">
        <f>IF($A87="","",Konferens!I7)</f>
        <v>Nej</v>
      </c>
      <c r="J87" s="3" t="str">
        <f>IF($A87="","",IFERROR(Konferens!O7,""))</f>
        <v>Mindre mötesrum. TESTSTARTVÄRDE.</v>
      </c>
    </row>
    <row r="88" spans="1:10">
      <c r="A88" s="3" t="str">
        <f>IF(Konferens!A8="Ja","Konferens","")</f>
        <v>Konferens</v>
      </c>
      <c r="B88" s="3" t="str">
        <f>IF($A88="","",Konferens!B8)</f>
        <v>roomType</v>
      </c>
      <c r="C88" s="3" t="str">
        <f>IF($A88="","",Konferens!C8)</f>
        <v>medium</v>
      </c>
      <c r="D88" s="3" t="str">
        <f>IF($A88="","",Konferens!D8)</f>
        <v>roomType:medium</v>
      </c>
      <c r="E88" s="3" t="str">
        <f>IF($A88="","",Konferens!E8)</f>
        <v>Rumstyp och grundlogik</v>
      </c>
      <c r="F88" s="3" t="str">
        <f>IF($A88="","",Konferens!F8)</f>
        <v>Fast</v>
      </c>
      <c r="G88" s="15">
        <f>IF($A88="","",Konferens!M8)</f>
        <v>15000</v>
      </c>
      <c r="H88" s="16">
        <f>IF($A88="","",Konferens!N8)</f>
        <v>2</v>
      </c>
      <c r="I88" s="3" t="str">
        <f>IF($A88="","",Konferens!I8)</f>
        <v>Nej</v>
      </c>
      <c r="J88" s="3" t="str">
        <f>IF($A88="","",IFERROR(Konferens!O8,""))</f>
        <v>Mellanstort konferensrum. TESTSTARTVÄRDE.</v>
      </c>
    </row>
    <row r="89" spans="1:10">
      <c r="A89" s="3" t="str">
        <f>IF(Konferens!A9="Ja","Konferens","")</f>
        <v>Konferens</v>
      </c>
      <c r="B89" s="3" t="str">
        <f>IF($A89="","",Konferens!B9)</f>
        <v>roomType</v>
      </c>
      <c r="C89" s="3" t="str">
        <f>IF($A89="","",Konferens!C9)</f>
        <v>large</v>
      </c>
      <c r="D89" s="3" t="str">
        <f>IF($A89="","",Konferens!D9)</f>
        <v>roomType:large</v>
      </c>
      <c r="E89" s="3" t="str">
        <f>IF($A89="","",Konferens!E9)</f>
        <v>Rumstyp och grundlogik</v>
      </c>
      <c r="F89" s="3" t="str">
        <f>IF($A89="","",Konferens!F9)</f>
        <v>Fast</v>
      </c>
      <c r="G89" s="15">
        <f>IF($A89="","",Konferens!M9)</f>
        <v>30000</v>
      </c>
      <c r="H89" s="16">
        <f>IF($A89="","",Konferens!N9)</f>
        <v>4</v>
      </c>
      <c r="I89" s="3" t="str">
        <f>IF($A89="","",Konferens!I9)</f>
        <v>Nej</v>
      </c>
      <c r="J89" s="3" t="str">
        <f>IF($A89="","",IFERROR(Konferens!O9,""))</f>
        <v>Större konferensrum. TESTSTARTVÄRDE.</v>
      </c>
    </row>
    <row r="90" spans="1:10">
      <c r="A90" s="3" t="str">
        <f>IF(Konferens!A10="Ja","Konferens","")</f>
        <v>Konferens</v>
      </c>
      <c r="B90" s="3" t="str">
        <f>IF($A90="","",Konferens!B10)</f>
        <v>basePackage</v>
      </c>
      <c r="C90" s="3" t="str">
        <f>IF($A90="","",Konferens!C10)</f>
        <v>byod</v>
      </c>
      <c r="D90" s="3" t="str">
        <f>IF($A90="","",Konferens!D10)</f>
        <v>basePackage:byod</v>
      </c>
      <c r="E90" s="3" t="str">
        <f>IF($A90="","",Konferens!E10)</f>
        <v>Konferenspaket BYOD</v>
      </c>
      <c r="F90" s="3" t="str">
        <f>IF($A90="","",Konferens!F10)</f>
        <v>Fast</v>
      </c>
      <c r="G90" s="15">
        <f>IF($A90="","",Konferens!M10)</f>
        <v>65000</v>
      </c>
      <c r="H90" s="16">
        <f>IF($A90="","",Konferens!N10)</f>
        <v>12</v>
      </c>
      <c r="I90" s="3" t="str">
        <f>IF($A90="","",Konferens!I10)</f>
        <v>Nej</v>
      </c>
      <c r="J90" s="3" t="str">
        <f>IF($A90="","",IFERROR(Konferens!O10,""))</f>
        <v>BYOD, bild, ljud och anslutning. TESTSTARTVÄRDE.</v>
      </c>
    </row>
    <row r="91" spans="1:10">
      <c r="A91" s="3" t="str">
        <f>IF(Konferens!A11="Ja","Konferens","")</f>
        <v>Konferens</v>
      </c>
      <c r="B91" s="3" t="str">
        <f>IF($A91="","",Konferens!B11)</f>
        <v>basePackage</v>
      </c>
      <c r="C91" s="3" t="str">
        <f>IF($A91="","",Konferens!C11)</f>
        <v>teams</v>
      </c>
      <c r="D91" s="3" t="str">
        <f>IF($A91="","",Konferens!D11)</f>
        <v>basePackage:teams</v>
      </c>
      <c r="E91" s="3" t="str">
        <f>IF($A91="","",Konferens!E11)</f>
        <v>Teams Room-konferenspaket</v>
      </c>
      <c r="F91" s="3" t="str">
        <f>IF($A91="","",Konferens!F11)</f>
        <v>Fast</v>
      </c>
      <c r="G91" s="15">
        <f>IF($A91="","",Konferens!M11)</f>
        <v>115000</v>
      </c>
      <c r="H91" s="16">
        <f>IF($A91="","",Konferens!N11)</f>
        <v>18</v>
      </c>
      <c r="I91" s="3" t="str">
        <f>IF($A91="","",Konferens!I11)</f>
        <v>Nej</v>
      </c>
      <c r="J91" s="3" t="str">
        <f>IF($A91="","",IFERROR(Konferens!O11,""))</f>
        <v>Teams Room-startpaket. TESTSTARTVÄRDE.</v>
      </c>
    </row>
    <row r="92" spans="1:10">
      <c r="A92" s="3" t="str">
        <f>IF(Konferens!A12="Ja","Konferens","")</f>
        <v>Konferens</v>
      </c>
      <c r="B92" s="3" t="str">
        <f>IF($A92="","",Konferens!B12)</f>
        <v>display</v>
      </c>
      <c r="C92" s="3" t="str">
        <f>IF($A92="","",Konferens!C12)</f>
        <v>single</v>
      </c>
      <c r="D92" s="3" t="str">
        <f>IF($A92="","",Konferens!D12)</f>
        <v>display:single</v>
      </c>
      <c r="E92" s="3" t="str">
        <f>IF($A92="","",Konferens!E12)</f>
        <v>Bildvisning</v>
      </c>
      <c r="F92" s="3" t="str">
        <f>IF($A92="","",Konferens!F12)</f>
        <v>Fast</v>
      </c>
      <c r="G92" s="15">
        <f>IF($A92="","",Konferens!M12)</f>
        <v>35000</v>
      </c>
      <c r="H92" s="16">
        <f>IF($A92="","",Konferens!N12)</f>
        <v>4</v>
      </c>
      <c r="I92" s="3" t="str">
        <f>IF($A92="","",Konferens!I12)</f>
        <v>Nej</v>
      </c>
      <c r="J92" s="3" t="str">
        <f>IF($A92="","",IFERROR(Konferens!O12,""))</f>
        <v>En skärm/projektor. TESTSTARTVÄRDE.</v>
      </c>
    </row>
    <row r="93" spans="1:10">
      <c r="A93" s="3" t="str">
        <f>IF(Konferens!A13="Ja","Konferens","")</f>
        <v>Konferens</v>
      </c>
      <c r="B93" s="3" t="str">
        <f>IF($A93="","",Konferens!B13)</f>
        <v>display</v>
      </c>
      <c r="C93" s="3" t="str">
        <f>IF($A93="","",Konferens!C13)</f>
        <v>dual</v>
      </c>
      <c r="D93" s="3" t="str">
        <f>IF($A93="","",Konferens!D13)</f>
        <v>display:dual</v>
      </c>
      <c r="E93" s="3" t="str">
        <f>IF($A93="","",Konferens!E13)</f>
        <v>Bildvisning</v>
      </c>
      <c r="F93" s="3" t="str">
        <f>IF($A93="","",Konferens!F13)</f>
        <v>Fast</v>
      </c>
      <c r="G93" s="15">
        <f>IF($A93="","",Konferens!M13)</f>
        <v>65000</v>
      </c>
      <c r="H93" s="16">
        <f>IF($A93="","",Konferens!N13)</f>
        <v>6</v>
      </c>
      <c r="I93" s="3" t="str">
        <f>IF($A93="","",Konferens!I13)</f>
        <v>Nej</v>
      </c>
      <c r="J93" s="3" t="str">
        <f>IF($A93="","",IFERROR(Konferens!O13,""))</f>
        <v>Dubbla bildytor. TESTSTARTVÄRDE.</v>
      </c>
    </row>
    <row r="94" spans="1:10">
      <c r="A94" s="3" t="str">
        <f>IF(Konferens!A14="Ja","Konferens","")</f>
        <v>Konferens</v>
      </c>
      <c r="B94" s="3" t="str">
        <f>IF($A94="","",Konferens!B14)</f>
        <v>audio</v>
      </c>
      <c r="C94" s="3" t="str">
        <f>IF($A94="","",Konferens!C14)</f>
        <v>ceiling</v>
      </c>
      <c r="D94" s="3" t="str">
        <f>IF($A94="","",Konferens!D14)</f>
        <v>audio:ceiling</v>
      </c>
      <c r="E94" s="3" t="str">
        <f>IF($A94="","",Konferens!E14)</f>
        <v>Konferensljud</v>
      </c>
      <c r="F94" s="3" t="str">
        <f>IF($A94="","",Konferens!F14)</f>
        <v>Fast</v>
      </c>
      <c r="G94" s="15">
        <f>IF($A94="","",Konferens!M14)</f>
        <v>28000</v>
      </c>
      <c r="H94" s="16">
        <f>IF($A94="","",Konferens!N14)</f>
        <v>6</v>
      </c>
      <c r="I94" s="3" t="str">
        <f>IF($A94="","",Konferens!I14)</f>
        <v>Nej</v>
      </c>
      <c r="J94" s="3" t="str">
        <f>IF($A94="","",IFERROR(Konferens!O14,""))</f>
        <v>Grundläggande tak-/rumsljud. TESTSTARTVÄRDE.</v>
      </c>
    </row>
    <row r="95" spans="1:10">
      <c r="A95" s="3" t="str">
        <f>IF(Konferens!A15="Ja","Konferens","")</f>
        <v>Konferens</v>
      </c>
      <c r="B95" s="3" t="str">
        <f>IF($A95="","",Konferens!B15)</f>
        <v>audio</v>
      </c>
      <c r="C95" s="3" t="str">
        <f>IF($A95="","",Konferens!C15)</f>
        <v>premium</v>
      </c>
      <c r="D95" s="3" t="str">
        <f>IF($A95="","",Konferens!D15)</f>
        <v>audio:premium</v>
      </c>
      <c r="E95" s="3" t="str">
        <f>IF($A95="","",Konferens!E15)</f>
        <v>Konferensljud</v>
      </c>
      <c r="F95" s="3" t="str">
        <f>IF($A95="","",Konferens!F15)</f>
        <v>Fast</v>
      </c>
      <c r="G95" s="15">
        <f>IF($A95="","",Konferens!M15)</f>
        <v>55000</v>
      </c>
      <c r="H95" s="16">
        <f>IF($A95="","",Konferens!N15)</f>
        <v>10</v>
      </c>
      <c r="I95" s="3" t="str">
        <f>IF($A95="","",Konferens!I15)</f>
        <v>Nej</v>
      </c>
      <c r="J95" s="3" t="str">
        <f>IF($A95="","",IFERROR(Konferens!O15,""))</f>
        <v>Utökad ljudbehandling/AEC. TESTSTARTVÄRDE.</v>
      </c>
    </row>
    <row r="96" spans="1:10">
      <c r="A96" s="3" t="str">
        <f>IF(Konferens!A16="Ja","Konferens","")</f>
        <v>Konferens</v>
      </c>
      <c r="B96" s="3" t="str">
        <f>IF($A96="","",Konferens!B16)</f>
        <v>control</v>
      </c>
      <c r="C96" s="3" t="str">
        <f>IF($A96="","",Konferens!C16)</f>
        <v>simple</v>
      </c>
      <c r="D96" s="3" t="str">
        <f>IF($A96="","",Konferens!D16)</f>
        <v>control:simple</v>
      </c>
      <c r="E96" s="3" t="str">
        <f>IF($A96="","",Konferens!E16)</f>
        <v>Styrning</v>
      </c>
      <c r="F96" s="3" t="str">
        <f>IF($A96="","",Konferens!F16)</f>
        <v>Fast</v>
      </c>
      <c r="G96" s="15">
        <f>IF($A96="","",Konferens!M16)</f>
        <v>12000</v>
      </c>
      <c r="H96" s="16">
        <f>IF($A96="","",Konferens!N16)</f>
        <v>2</v>
      </c>
      <c r="I96" s="3" t="str">
        <f>IF($A96="","",Konferens!I16)</f>
        <v>Nej</v>
      </c>
      <c r="J96" s="3" t="str">
        <f>IF($A96="","",IFERROR(Konferens!O16,""))</f>
        <v>Enkel styrning. TESTSTARTVÄRDE.</v>
      </c>
    </row>
    <row r="97" spans="1:10">
      <c r="A97" s="3" t="str">
        <f>IF(Konferens!A17="Ja","Konferens","")</f>
        <v>Konferens</v>
      </c>
      <c r="B97" s="3" t="str">
        <f>IF($A97="","",Konferens!B17)</f>
        <v>control</v>
      </c>
      <c r="C97" s="3" t="str">
        <f>IF($A97="","",Konferens!C17)</f>
        <v>touch</v>
      </c>
      <c r="D97" s="3" t="str">
        <f>IF($A97="","",Konferens!D17)</f>
        <v>control:touch</v>
      </c>
      <c r="E97" s="3" t="str">
        <f>IF($A97="","",Konferens!E17)</f>
        <v>Styrning</v>
      </c>
      <c r="F97" s="3" t="str">
        <f>IF($A97="","",Konferens!F17)</f>
        <v>Fast</v>
      </c>
      <c r="G97" s="15">
        <f>IF($A97="","",Konferens!M17)</f>
        <v>28000</v>
      </c>
      <c r="H97" s="16">
        <f>IF($A97="","",Konferens!N17)</f>
        <v>4</v>
      </c>
      <c r="I97" s="3" t="str">
        <f>IF($A97="","",Konferens!I17)</f>
        <v>Nej</v>
      </c>
      <c r="J97" s="3" t="str">
        <f>IF($A97="","",IFERROR(Konferens!O17,""))</f>
        <v>Touchstyrning. TESTSTARTVÄRDE.</v>
      </c>
    </row>
    <row r="98" spans="1:10">
      <c r="A98" s="3" t="str">
        <f>IF(Konferens!A18="Ja","Konferens","")</f>
        <v>Konferens</v>
      </c>
      <c r="B98" s="3" t="str">
        <f>IF($A98="","",Konferens!B18)</f>
        <v>camera</v>
      </c>
      <c r="C98" s="3" t="str">
        <f>IF($A98="","",Konferens!C18)</f>
        <v>standard</v>
      </c>
      <c r="D98" s="3" t="str">
        <f>IF($A98="","",Konferens!D18)</f>
        <v>camera:standard</v>
      </c>
      <c r="E98" s="3" t="str">
        <f>IF($A98="","",Konferens!E18)</f>
        <v>Konferenskamera</v>
      </c>
      <c r="F98" s="3" t="str">
        <f>IF($A98="","",Konferens!F18)</f>
        <v>Fast</v>
      </c>
      <c r="G98" s="15">
        <f>IF($A98="","",Konferens!M18)</f>
        <v>18000</v>
      </c>
      <c r="H98" s="16">
        <f>IF($A98="","",Konferens!N18)</f>
        <v>2</v>
      </c>
      <c r="I98" s="3" t="str">
        <f>IF($A98="","",Konferens!I18)</f>
        <v>Nej</v>
      </c>
      <c r="J98" s="3" t="str">
        <f>IF($A98="","",IFERROR(Konferens!O18,""))</f>
        <v>Standardkamera. TESTSTARTVÄRDE.</v>
      </c>
    </row>
    <row r="99" spans="1:10">
      <c r="A99" s="3" t="str">
        <f>IF(Konferens!A19="Ja","Konferens","")</f>
        <v>Konferens</v>
      </c>
      <c r="B99" s="3" t="str">
        <f>IF($A99="","",Konferens!B19)</f>
        <v>camera</v>
      </c>
      <c r="C99" s="3" t="str">
        <f>IF($A99="","",Konferens!C19)</f>
        <v>tracking</v>
      </c>
      <c r="D99" s="3" t="str">
        <f>IF($A99="","",Konferens!D19)</f>
        <v>camera:tracking</v>
      </c>
      <c r="E99" s="3" t="str">
        <f>IF($A99="","",Konferens!E19)</f>
        <v>Konferenskamera</v>
      </c>
      <c r="F99" s="3" t="str">
        <f>IF($A99="","",Konferens!F19)</f>
        <v>Fast</v>
      </c>
      <c r="G99" s="15">
        <f>IF($A99="","",Konferens!M19)</f>
        <v>42000</v>
      </c>
      <c r="H99" s="16">
        <f>IF($A99="","",Konferens!N19)</f>
        <v>4</v>
      </c>
      <c r="I99" s="3" t="str">
        <f>IF($A99="","",Konferens!I19)</f>
        <v>Nej</v>
      </c>
      <c r="J99" s="3" t="str">
        <f>IF($A99="","",IFERROR(Konferens!O19,""))</f>
        <v>Kamera med utökad funktion. TESTSTARTVÄRDE.</v>
      </c>
    </row>
    <row r="100" spans="1:10">
      <c r="A100" s="3" t="str">
        <f>IF(Konferens!A20="Ja","Konferens","")</f>
        <v>Konferens</v>
      </c>
      <c r="B100" s="3" t="str">
        <f>IF($A100="","",Konferens!B20)</f>
        <v>unit</v>
      </c>
      <c r="C100" s="3" t="str">
        <f>IF($A100="","",Konferens!C20)</f>
        <v>wirelessMic</v>
      </c>
      <c r="D100" s="3" t="str">
        <f>IF($A100="","",Konferens!D20)</f>
        <v>unit:wirelessMic</v>
      </c>
      <c r="E100" s="3" t="str">
        <f>IF($A100="","",Konferens!E20)</f>
        <v>Mikrofoner</v>
      </c>
      <c r="F100" s="3" t="str">
        <f>IF($A100="","",Konferens!F20)</f>
        <v>Enhet</v>
      </c>
      <c r="G100" s="15">
        <f>IF($A100="","",Konferens!M20)</f>
        <v>7900</v>
      </c>
      <c r="H100" s="16">
        <f>IF($A100="","",Konferens!N20)</f>
        <v>0.5</v>
      </c>
      <c r="I100" s="3" t="str">
        <f>IF($A100="","",Konferens!I20)</f>
        <v>Nej</v>
      </c>
      <c r="J100" s="3" t="str">
        <f>IF($A100="","",IFERROR(Konferens!O20,""))</f>
        <v>Trådlös mikrofon. TESTSTARTVÄRDE.</v>
      </c>
    </row>
    <row r="101" spans="1:10">
      <c r="A101" s="3" t="str">
        <f>IF(Konferens!A21="Ja","Konferens","")</f>
        <v>Konferens</v>
      </c>
      <c r="B101" s="3" t="str">
        <f>IF($A101="","",Konferens!B21)</f>
        <v>unit</v>
      </c>
      <c r="C101" s="3" t="str">
        <f>IF($A101="","",Konferens!C21)</f>
        <v>ceilingMic</v>
      </c>
      <c r="D101" s="3" t="str">
        <f>IF($A101="","",Konferens!D21)</f>
        <v>unit:ceilingMic</v>
      </c>
      <c r="E101" s="3" t="str">
        <f>IF($A101="","",Konferens!E21)</f>
        <v>Mikrofoner</v>
      </c>
      <c r="F101" s="3" t="str">
        <f>IF($A101="","",Konferens!F21)</f>
        <v>Enhet</v>
      </c>
      <c r="G101" s="15">
        <f>IF($A101="","",Konferens!M21)</f>
        <v>18000</v>
      </c>
      <c r="H101" s="16">
        <f>IF($A101="","",Konferens!N21)</f>
        <v>1.5</v>
      </c>
      <c r="I101" s="3" t="str">
        <f>IF($A101="","",Konferens!I21)</f>
        <v>Nej</v>
      </c>
      <c r="J101" s="3" t="str">
        <f>IF($A101="","",IFERROR(Konferens!O21,""))</f>
        <v>Takmikrofon. TESTSTARTVÄRDE.</v>
      </c>
    </row>
    <row r="102" spans="1:10">
      <c r="A102" s="3" t="str">
        <f>IF(Konferens!A22="Ja","Konferens","")</f>
        <v>Konferens</v>
      </c>
      <c r="B102" s="3" t="str">
        <f>IF($A102="","",Konferens!B22)</f>
        <v>accessibility</v>
      </c>
      <c r="C102" s="3" t="str">
        <f>IF($A102="","",Konferens!C22)</f>
        <v>loop</v>
      </c>
      <c r="D102" s="3" t="str">
        <f>IF($A102="","",Konferens!D22)</f>
        <v>accessibility:loop</v>
      </c>
      <c r="E102" s="3" t="str">
        <f>IF($A102="","",Konferens!E22)</f>
        <v>Hörslinga konferensrum</v>
      </c>
      <c r="F102" s="3" t="str">
        <f>IF($A102="","",Konferens!F22)</f>
        <v>Fast</v>
      </c>
      <c r="G102" s="15">
        <f>IF($A102="","",Konferens!M22)</f>
        <v>32000</v>
      </c>
      <c r="H102" s="16">
        <f>IF($A102="","",Konferens!N22)</f>
        <v>8</v>
      </c>
      <c r="I102" s="3" t="str">
        <f>IF($A102="","",Konferens!I22)</f>
        <v>Nej</v>
      </c>
      <c r="J102" s="3" t="str">
        <f>IF($A102="","",IFERROR(Konferens!O22,""))</f>
        <v>TESTSTARTVÄRDE.</v>
      </c>
    </row>
    <row r="103" spans="1:10">
      <c r="A103" s="3" t="str">
        <f>IF(Konferens!A23="Ja","Konferens","")</f>
        <v>Konferens</v>
      </c>
      <c r="B103" s="3" t="str">
        <f>IF($A103="","",Konferens!B23)</f>
        <v>accessibility</v>
      </c>
      <c r="C103" s="3" t="str">
        <f>IF($A103="","",Konferens!C23)</f>
        <v>auracast</v>
      </c>
      <c r="D103" s="3" t="str">
        <f>IF($A103="","",Konferens!D23)</f>
        <v>accessibility:auracast</v>
      </c>
      <c r="E103" s="3" t="str">
        <f>IF($A103="","",Konferens!E23)</f>
        <v>Auracast konferensrum</v>
      </c>
      <c r="F103" s="3" t="str">
        <f>IF($A103="","",Konferens!F23)</f>
        <v>Fast</v>
      </c>
      <c r="G103" s="15">
        <f>IF($A103="","",Konferens!M23)</f>
        <v>24000</v>
      </c>
      <c r="H103" s="16">
        <f>IF($A103="","",Konferens!N23)</f>
        <v>3</v>
      </c>
      <c r="I103" s="3" t="str">
        <f>IF($A103="","",Konferens!I23)</f>
        <v>Nej</v>
      </c>
      <c r="J103" s="3" t="str">
        <f>IF($A103="","",IFERROR(Konferens!O23,""))</f>
        <v>TESTSTARTVÄRDE.</v>
      </c>
    </row>
    <row r="104" spans="1:10">
      <c r="A104" s="3" t="str">
        <f>IF(Konferens!A24="Ja","Konferens","")</f>
        <v>Konferens</v>
      </c>
      <c r="B104" s="3" t="str">
        <f>IF($A104="","",Konferens!B24)</f>
        <v>checks</v>
      </c>
      <c r="C104" s="3" t="str">
        <f>IF($A104="","",Konferens!C24)</f>
        <v>documentation</v>
      </c>
      <c r="D104" s="3" t="str">
        <f>IF($A104="","",Konferens!D24)</f>
        <v>checks:documentation</v>
      </c>
      <c r="E104" s="3" t="str">
        <f>IF($A104="","",Konferens!E24)</f>
        <v>Relationshandling och dokumentation</v>
      </c>
      <c r="F104" s="3" t="str">
        <f>IF($A104="","",Konferens!F24)</f>
        <v>Fast</v>
      </c>
      <c r="G104" s="15">
        <f>IF($A104="","",Konferens!M24)</f>
        <v>10000</v>
      </c>
      <c r="H104" s="16">
        <f>IF($A104="","",Konferens!N24)</f>
        <v>3</v>
      </c>
      <c r="I104" s="3" t="str">
        <f>IF($A104="","",Konferens!I24)</f>
        <v>Nej</v>
      </c>
      <c r="J104" s="3" t="str">
        <f>IF($A104="","",IFERROR(Konferens!O24,""))</f>
        <v>TESTSTARTVÄRDE.</v>
      </c>
    </row>
    <row r="105" spans="1:10">
      <c r="A105" s="3" t="str">
        <f>IF(Konferens!A25="Ja","Konferens","")</f>
        <v>Konferens</v>
      </c>
      <c r="B105" s="3" t="str">
        <f>IF($A105="","",Konferens!B25)</f>
        <v>checks</v>
      </c>
      <c r="C105" s="3" t="str">
        <f>IF($A105="","",Konferens!C25)</f>
        <v>warranty5</v>
      </c>
      <c r="D105" s="3" t="str">
        <f>IF($A105="","",Konferens!D25)</f>
        <v>checks:warranty5</v>
      </c>
      <c r="E105" s="3" t="str">
        <f>IF($A105="","",Konferens!E25)</f>
        <v>Garanti och materialhantering</v>
      </c>
      <c r="F105" s="3" t="str">
        <f>IF($A105="","",Konferens!F25)</f>
        <v>Procent</v>
      </c>
      <c r="G105" s="15">
        <f>IF($A105="","",Konferens!M25)</f>
        <v>0</v>
      </c>
      <c r="H105" s="16">
        <f>IF($A105="","",Konferens!N25)</f>
        <v>0</v>
      </c>
      <c r="I105" s="3" t="str">
        <f>IF($A105="","",Konferens!I25)</f>
        <v>Nej</v>
      </c>
      <c r="J105" s="3" t="str">
        <f>IF($A105="","",IFERROR(Konferens!O25,""))</f>
        <v>10 % på subtotal som testregel.</v>
      </c>
    </row>
    <row r="106" spans="1:10">
      <c r="A106" s="3" t="str">
        <f>IF(Konferens!A26="Ja","Konferens","")</f>
        <v/>
      </c>
      <c r="B106" s="3" t="str">
        <f>IF($A106="","",Konferens!B26)</f>
        <v/>
      </c>
      <c r="C106" s="3" t="str">
        <f>IF($A106="","",Konferens!C26)</f>
        <v/>
      </c>
      <c r="D106" s="3" t="str">
        <f>IF($A106="","",Konferens!D26)</f>
        <v/>
      </c>
      <c r="E106" s="3" t="str">
        <f>IF($A106="","",Konferens!E26)</f>
        <v/>
      </c>
      <c r="F106" s="3" t="str">
        <f>IF($A106="","",Konferens!F26)</f>
        <v/>
      </c>
      <c r="G106" s="15" t="str">
        <f>IF($A106="","",Konferens!M26)</f>
        <v/>
      </c>
      <c r="H106" s="16" t="str">
        <f>IF($A106="","",Konferens!N26)</f>
        <v/>
      </c>
      <c r="I106" s="3" t="str">
        <f>IF($A106="","",Konferens!I26)</f>
        <v/>
      </c>
      <c r="J106" s="3" t="str">
        <f>IF($A106="","",IFERROR(Konferens!O26,""))</f>
        <v/>
      </c>
    </row>
    <row r="107" spans="1:10">
      <c r="A107" s="3" t="str">
        <f>IF(Konferens!A27="Ja","Konferens","")</f>
        <v/>
      </c>
      <c r="B107" s="3" t="str">
        <f>IF($A107="","",Konferens!B27)</f>
        <v/>
      </c>
      <c r="C107" s="3" t="str">
        <f>IF($A107="","",Konferens!C27)</f>
        <v/>
      </c>
      <c r="D107" s="3" t="str">
        <f>IF($A107="","",Konferens!D27)</f>
        <v/>
      </c>
      <c r="E107" s="3" t="str">
        <f>IF($A107="","",Konferens!E27)</f>
        <v/>
      </c>
      <c r="F107" s="3" t="str">
        <f>IF($A107="","",Konferens!F27)</f>
        <v/>
      </c>
      <c r="G107" s="15" t="str">
        <f>IF($A107="","",Konferens!M27)</f>
        <v/>
      </c>
      <c r="H107" s="16" t="str">
        <f>IF($A107="","",Konferens!N27)</f>
        <v/>
      </c>
      <c r="I107" s="3" t="str">
        <f>IF($A107="","",Konferens!I27)</f>
        <v/>
      </c>
      <c r="J107" s="3" t="str">
        <f>IF($A107="","",IFERROR(Konferens!O27,""))</f>
        <v/>
      </c>
    </row>
    <row r="108" spans="1:10">
      <c r="A108" s="3" t="str">
        <f>IF(Konferens!A28="Ja","Konferens","")</f>
        <v/>
      </c>
      <c r="B108" s="3" t="str">
        <f>IF($A108="","",Konferens!B28)</f>
        <v/>
      </c>
      <c r="C108" s="3" t="str">
        <f>IF($A108="","",Konferens!C28)</f>
        <v/>
      </c>
      <c r="D108" s="3" t="str">
        <f>IF($A108="","",Konferens!D28)</f>
        <v/>
      </c>
      <c r="E108" s="3" t="str">
        <f>IF($A108="","",Konferens!E28)</f>
        <v/>
      </c>
      <c r="F108" s="3" t="str">
        <f>IF($A108="","",Konferens!F28)</f>
        <v/>
      </c>
      <c r="G108" s="15" t="str">
        <f>IF($A108="","",Konferens!M28)</f>
        <v/>
      </c>
      <c r="H108" s="16" t="str">
        <f>IF($A108="","",Konferens!N28)</f>
        <v/>
      </c>
      <c r="I108" s="3" t="str">
        <f>IF($A108="","",Konferens!I28)</f>
        <v/>
      </c>
      <c r="J108" s="3" t="str">
        <f>IF($A108="","",IFERROR(Konferens!O28,""))</f>
        <v/>
      </c>
    </row>
    <row r="109" spans="1:10">
      <c r="A109" s="3" t="str">
        <f>IF(Konferens!A29="Ja","Konferens","")</f>
        <v/>
      </c>
      <c r="B109" s="3" t="str">
        <f>IF($A109="","",Konferens!B29)</f>
        <v/>
      </c>
      <c r="C109" s="3" t="str">
        <f>IF($A109="","",Konferens!C29)</f>
        <v/>
      </c>
      <c r="D109" s="3" t="str">
        <f>IF($A109="","",Konferens!D29)</f>
        <v/>
      </c>
      <c r="E109" s="3" t="str">
        <f>IF($A109="","",Konferens!E29)</f>
        <v/>
      </c>
      <c r="F109" s="3" t="str">
        <f>IF($A109="","",Konferens!F29)</f>
        <v/>
      </c>
      <c r="G109" s="15" t="str">
        <f>IF($A109="","",Konferens!M29)</f>
        <v/>
      </c>
      <c r="H109" s="16" t="str">
        <f>IF($A109="","",Konferens!N29)</f>
        <v/>
      </c>
      <c r="I109" s="3" t="str">
        <f>IF($A109="","",Konferens!I29)</f>
        <v/>
      </c>
      <c r="J109" s="3" t="str">
        <f>IF($A109="","",IFERROR(Konferens!O29,""))</f>
        <v/>
      </c>
    </row>
    <row r="110" spans="1:10">
      <c r="A110" s="3" t="str">
        <f>IF(Konferens!A30="Ja","Konferens","")</f>
        <v/>
      </c>
      <c r="B110" s="3" t="str">
        <f>IF($A110="","",Konferens!B30)</f>
        <v/>
      </c>
      <c r="C110" s="3" t="str">
        <f>IF($A110="","",Konferens!C30)</f>
        <v/>
      </c>
      <c r="D110" s="3" t="str">
        <f>IF($A110="","",Konferens!D30)</f>
        <v/>
      </c>
      <c r="E110" s="3" t="str">
        <f>IF($A110="","",Konferens!E30)</f>
        <v/>
      </c>
      <c r="F110" s="3" t="str">
        <f>IF($A110="","",Konferens!F30)</f>
        <v/>
      </c>
      <c r="G110" s="15" t="str">
        <f>IF($A110="","",Konferens!M30)</f>
        <v/>
      </c>
      <c r="H110" s="16" t="str">
        <f>IF($A110="","",Konferens!N30)</f>
        <v/>
      </c>
      <c r="I110" s="3" t="str">
        <f>IF($A110="","",Konferens!I30)</f>
        <v/>
      </c>
      <c r="J110" s="3" t="str">
        <f>IF($A110="","",IFERROR(Konferens!O30,""))</f>
        <v/>
      </c>
    </row>
    <row r="111" spans="1:10">
      <c r="A111" s="3" t="str">
        <f>IF(Konferens!A31="Ja","Konferens","")</f>
        <v/>
      </c>
      <c r="B111" s="3" t="str">
        <f>IF($A111="","",Konferens!B31)</f>
        <v/>
      </c>
      <c r="C111" s="3" t="str">
        <f>IF($A111="","",Konferens!C31)</f>
        <v/>
      </c>
      <c r="D111" s="3" t="str">
        <f>IF($A111="","",Konferens!D31)</f>
        <v/>
      </c>
      <c r="E111" s="3" t="str">
        <f>IF($A111="","",Konferens!E31)</f>
        <v/>
      </c>
      <c r="F111" s="3" t="str">
        <f>IF($A111="","",Konferens!F31)</f>
        <v/>
      </c>
      <c r="G111" s="15" t="str">
        <f>IF($A111="","",Konferens!M31)</f>
        <v/>
      </c>
      <c r="H111" s="16" t="str">
        <f>IF($A111="","",Konferens!N31)</f>
        <v/>
      </c>
      <c r="I111" s="3" t="str">
        <f>IF($A111="","",Konferens!I31)</f>
        <v/>
      </c>
      <c r="J111" s="3" t="str">
        <f>IF($A111="","",IFERROR(Konferens!O31,""))</f>
        <v/>
      </c>
    </row>
    <row r="112" spans="1:10">
      <c r="A112" s="3" t="str">
        <f>IF(Konferens!A32="Ja","Konferens","")</f>
        <v/>
      </c>
      <c r="B112" s="3" t="str">
        <f>IF($A112="","",Konferens!B32)</f>
        <v/>
      </c>
      <c r="C112" s="3" t="str">
        <f>IF($A112="","",Konferens!C32)</f>
        <v/>
      </c>
      <c r="D112" s="3" t="str">
        <f>IF($A112="","",Konferens!D32)</f>
        <v/>
      </c>
      <c r="E112" s="3" t="str">
        <f>IF($A112="","",Konferens!E32)</f>
        <v/>
      </c>
      <c r="F112" s="3" t="str">
        <f>IF($A112="","",Konferens!F32)</f>
        <v/>
      </c>
      <c r="G112" s="15" t="str">
        <f>IF($A112="","",Konferens!M32)</f>
        <v/>
      </c>
      <c r="H112" s="16" t="str">
        <f>IF($A112="","",Konferens!N32)</f>
        <v/>
      </c>
      <c r="I112" s="3" t="str">
        <f>IF($A112="","",Konferens!I32)</f>
        <v/>
      </c>
      <c r="J112" s="3" t="str">
        <f>IF($A112="","",IFERROR(Konferens!O32,""))</f>
        <v/>
      </c>
    </row>
    <row r="113" spans="1:10">
      <c r="A113" s="3" t="str">
        <f>IF(Konferens!A33="Ja","Konferens","")</f>
        <v/>
      </c>
      <c r="B113" s="3" t="str">
        <f>IF($A113="","",Konferens!B33)</f>
        <v/>
      </c>
      <c r="C113" s="3" t="str">
        <f>IF($A113="","",Konferens!C33)</f>
        <v/>
      </c>
      <c r="D113" s="3" t="str">
        <f>IF($A113="","",Konferens!D33)</f>
        <v/>
      </c>
      <c r="E113" s="3" t="str">
        <f>IF($A113="","",Konferens!E33)</f>
        <v/>
      </c>
      <c r="F113" s="3" t="str">
        <f>IF($A113="","",Konferens!F33)</f>
        <v/>
      </c>
      <c r="G113" s="15" t="str">
        <f>IF($A113="","",Konferens!M33)</f>
        <v/>
      </c>
      <c r="H113" s="16" t="str">
        <f>IF($A113="","",Konferens!N33)</f>
        <v/>
      </c>
      <c r="I113" s="3" t="str">
        <f>IF($A113="","",Konferens!I33)</f>
        <v/>
      </c>
      <c r="J113" s="3" t="str">
        <f>IF($A113="","",IFERROR(Konferens!O33,""))</f>
        <v/>
      </c>
    </row>
    <row r="114" spans="1:10">
      <c r="A114" s="3" t="str">
        <f>IF(Konferens!A34="Ja","Konferens","")</f>
        <v/>
      </c>
      <c r="B114" s="3" t="str">
        <f>IF($A114="","",Konferens!B34)</f>
        <v/>
      </c>
      <c r="C114" s="3" t="str">
        <f>IF($A114="","",Konferens!C34)</f>
        <v/>
      </c>
      <c r="D114" s="3" t="str">
        <f>IF($A114="","",Konferens!D34)</f>
        <v/>
      </c>
      <c r="E114" s="3" t="str">
        <f>IF($A114="","",Konferens!E34)</f>
        <v/>
      </c>
      <c r="F114" s="3" t="str">
        <f>IF($A114="","",Konferens!F34)</f>
        <v/>
      </c>
      <c r="G114" s="15" t="str">
        <f>IF($A114="","",Konferens!M34)</f>
        <v/>
      </c>
      <c r="H114" s="16" t="str">
        <f>IF($A114="","",Konferens!N34)</f>
        <v/>
      </c>
      <c r="I114" s="3" t="str">
        <f>IF($A114="","",Konferens!I34)</f>
        <v/>
      </c>
      <c r="J114" s="3" t="str">
        <f>IF($A114="","",IFERROR(Konferens!O34,""))</f>
        <v/>
      </c>
    </row>
    <row r="115" spans="1:10">
      <c r="A115" s="3" t="str">
        <f>IF(Konferens!A35="Ja","Konferens","")</f>
        <v/>
      </c>
      <c r="B115" s="3" t="str">
        <f>IF($A115="","",Konferens!B35)</f>
        <v/>
      </c>
      <c r="C115" s="3" t="str">
        <f>IF($A115="","",Konferens!C35)</f>
        <v/>
      </c>
      <c r="D115" s="3" t="str">
        <f>IF($A115="","",Konferens!D35)</f>
        <v/>
      </c>
      <c r="E115" s="3" t="str">
        <f>IF($A115="","",Konferens!E35)</f>
        <v/>
      </c>
      <c r="F115" s="3" t="str">
        <f>IF($A115="","",Konferens!F35)</f>
        <v/>
      </c>
      <c r="G115" s="15" t="str">
        <f>IF($A115="","",Konferens!M35)</f>
        <v/>
      </c>
      <c r="H115" s="16" t="str">
        <f>IF($A115="","",Konferens!N35)</f>
        <v/>
      </c>
      <c r="I115" s="3" t="str">
        <f>IF($A115="","",Konferens!I35)</f>
        <v/>
      </c>
      <c r="J115" s="3" t="str">
        <f>IF($A115="","",IFERROR(Konferens!O35,""))</f>
        <v/>
      </c>
    </row>
    <row r="116" spans="1:10">
      <c r="A116" s="3" t="str">
        <f>IF(Konferens!A36="Ja","Konferens","")</f>
        <v/>
      </c>
      <c r="B116" s="3" t="str">
        <f>IF($A116="","",Konferens!B36)</f>
        <v/>
      </c>
      <c r="C116" s="3" t="str">
        <f>IF($A116="","",Konferens!C36)</f>
        <v/>
      </c>
      <c r="D116" s="3" t="str">
        <f>IF($A116="","",Konferens!D36)</f>
        <v/>
      </c>
      <c r="E116" s="3" t="str">
        <f>IF($A116="","",Konferens!E36)</f>
        <v/>
      </c>
      <c r="F116" s="3" t="str">
        <f>IF($A116="","",Konferens!F36)</f>
        <v/>
      </c>
      <c r="G116" s="15" t="str">
        <f>IF($A116="","",Konferens!M36)</f>
        <v/>
      </c>
      <c r="H116" s="16" t="str">
        <f>IF($A116="","",Konferens!N36)</f>
        <v/>
      </c>
      <c r="I116" s="3" t="str">
        <f>IF($A116="","",Konferens!I36)</f>
        <v/>
      </c>
      <c r="J116" s="3" t="str">
        <f>IF($A116="","",IFERROR(Konferens!O36,""))</f>
        <v/>
      </c>
    </row>
    <row r="117" spans="1:10">
      <c r="A117" s="3" t="str">
        <f>IF(Konferens!A37="Ja","Konferens","")</f>
        <v/>
      </c>
      <c r="B117" s="3" t="str">
        <f>IF($A117="","",Konferens!B37)</f>
        <v/>
      </c>
      <c r="C117" s="3" t="str">
        <f>IF($A117="","",Konferens!C37)</f>
        <v/>
      </c>
      <c r="D117" s="3" t="str">
        <f>IF($A117="","",Konferens!D37)</f>
        <v/>
      </c>
      <c r="E117" s="3" t="str">
        <f>IF($A117="","",Konferens!E37)</f>
        <v/>
      </c>
      <c r="F117" s="3" t="str">
        <f>IF($A117="","",Konferens!F37)</f>
        <v/>
      </c>
      <c r="G117" s="15" t="str">
        <f>IF($A117="","",Konferens!M37)</f>
        <v/>
      </c>
      <c r="H117" s="16" t="str">
        <f>IF($A117="","",Konferens!N37)</f>
        <v/>
      </c>
      <c r="I117" s="3" t="str">
        <f>IF($A117="","",Konferens!I37)</f>
        <v/>
      </c>
      <c r="J117" s="3" t="str">
        <f>IF($A117="","",IFERROR(Konferens!O37,""))</f>
        <v/>
      </c>
    </row>
    <row r="118" spans="1:10">
      <c r="A118" s="3" t="str">
        <f>IF(Konferens!A38="Ja","Konferens","")</f>
        <v/>
      </c>
      <c r="B118" s="3" t="str">
        <f>IF($A118="","",Konferens!B38)</f>
        <v/>
      </c>
      <c r="C118" s="3" t="str">
        <f>IF($A118="","",Konferens!C38)</f>
        <v/>
      </c>
      <c r="D118" s="3" t="str">
        <f>IF($A118="","",Konferens!D38)</f>
        <v/>
      </c>
      <c r="E118" s="3" t="str">
        <f>IF($A118="","",Konferens!E38)</f>
        <v/>
      </c>
      <c r="F118" s="3" t="str">
        <f>IF($A118="","",Konferens!F38)</f>
        <v/>
      </c>
      <c r="G118" s="15" t="str">
        <f>IF($A118="","",Konferens!M38)</f>
        <v/>
      </c>
      <c r="H118" s="16" t="str">
        <f>IF($A118="","",Konferens!N38)</f>
        <v/>
      </c>
      <c r="I118" s="3" t="str">
        <f>IF($A118="","",Konferens!I38)</f>
        <v/>
      </c>
      <c r="J118" s="3" t="str">
        <f>IF($A118="","",IFERROR(Konferens!O38,""))</f>
        <v/>
      </c>
    </row>
    <row r="119" spans="1:10">
      <c r="A119" s="3" t="str">
        <f>IF(Konferens!A39="Ja","Konferens","")</f>
        <v/>
      </c>
      <c r="B119" s="3" t="str">
        <f>IF($A119="","",Konferens!B39)</f>
        <v/>
      </c>
      <c r="C119" s="3" t="str">
        <f>IF($A119="","",Konferens!C39)</f>
        <v/>
      </c>
      <c r="D119" s="3" t="str">
        <f>IF($A119="","",Konferens!D39)</f>
        <v/>
      </c>
      <c r="E119" s="3" t="str">
        <f>IF($A119="","",Konferens!E39)</f>
        <v/>
      </c>
      <c r="F119" s="3" t="str">
        <f>IF($A119="","",Konferens!F39)</f>
        <v/>
      </c>
      <c r="G119" s="15" t="str">
        <f>IF($A119="","",Konferens!M39)</f>
        <v/>
      </c>
      <c r="H119" s="16" t="str">
        <f>IF($A119="","",Konferens!N39)</f>
        <v/>
      </c>
      <c r="I119" s="3" t="str">
        <f>IF($A119="","",Konferens!I39)</f>
        <v/>
      </c>
      <c r="J119" s="3" t="str">
        <f>IF($A119="","",IFERROR(Konferens!O39,""))</f>
        <v/>
      </c>
    </row>
    <row r="120" spans="1:10">
      <c r="A120" s="3" t="str">
        <f>IF(Konferens!A40="Ja","Konferens","")</f>
        <v/>
      </c>
      <c r="B120" s="3" t="str">
        <f>IF($A120="","",Konferens!B40)</f>
        <v/>
      </c>
      <c r="C120" s="3" t="str">
        <f>IF($A120="","",Konferens!C40)</f>
        <v/>
      </c>
      <c r="D120" s="3" t="str">
        <f>IF($A120="","",Konferens!D40)</f>
        <v/>
      </c>
      <c r="E120" s="3" t="str">
        <f>IF($A120="","",Konferens!E40)</f>
        <v/>
      </c>
      <c r="F120" s="3" t="str">
        <f>IF($A120="","",Konferens!F40)</f>
        <v/>
      </c>
      <c r="G120" s="15" t="str">
        <f>IF($A120="","",Konferens!M40)</f>
        <v/>
      </c>
      <c r="H120" s="16" t="str">
        <f>IF($A120="","",Konferens!N40)</f>
        <v/>
      </c>
      <c r="I120" s="3" t="str">
        <f>IF($A120="","",Konferens!I40)</f>
        <v/>
      </c>
      <c r="J120" s="3" t="str">
        <f>IF($A120="","",IFERROR(Konferens!O40,""))</f>
        <v/>
      </c>
    </row>
    <row r="121" spans="1:10">
      <c r="A121" s="3" t="str">
        <f>IF(Konferens!A41="Ja","Konferens","")</f>
        <v/>
      </c>
      <c r="B121" s="3" t="str">
        <f>IF($A121="","",Konferens!B41)</f>
        <v/>
      </c>
      <c r="C121" s="3" t="str">
        <f>IF($A121="","",Konferens!C41)</f>
        <v/>
      </c>
      <c r="D121" s="3" t="str">
        <f>IF($A121="","",Konferens!D41)</f>
        <v/>
      </c>
      <c r="E121" s="3" t="str">
        <f>IF($A121="","",Konferens!E41)</f>
        <v/>
      </c>
      <c r="F121" s="3" t="str">
        <f>IF($A121="","",Konferens!F41)</f>
        <v/>
      </c>
      <c r="G121" s="15" t="str">
        <f>IF($A121="","",Konferens!M41)</f>
        <v/>
      </c>
      <c r="H121" s="16" t="str">
        <f>IF($A121="","",Konferens!N41)</f>
        <v/>
      </c>
      <c r="I121" s="3" t="str">
        <f>IF($A121="","",Konferens!I41)</f>
        <v/>
      </c>
      <c r="J121" s="3" t="str">
        <f>IF($A121="","",IFERROR(Konferens!O41,""))</f>
        <v/>
      </c>
    </row>
    <row r="122" spans="1:10">
      <c r="A122" s="3" t="str">
        <f>IF(Konferens!A42="Ja","Konferens","")</f>
        <v/>
      </c>
      <c r="B122" s="3" t="str">
        <f>IF($A122="","",Konferens!B42)</f>
        <v/>
      </c>
      <c r="C122" s="3" t="str">
        <f>IF($A122="","",Konferens!C42)</f>
        <v/>
      </c>
      <c r="D122" s="3" t="str">
        <f>IF($A122="","",Konferens!D42)</f>
        <v/>
      </c>
      <c r="E122" s="3" t="str">
        <f>IF($A122="","",Konferens!E42)</f>
        <v/>
      </c>
      <c r="F122" s="3" t="str">
        <f>IF($A122="","",Konferens!F42)</f>
        <v/>
      </c>
      <c r="G122" s="15" t="str">
        <f>IF($A122="","",Konferens!M42)</f>
        <v/>
      </c>
      <c r="H122" s="16" t="str">
        <f>IF($A122="","",Konferens!N42)</f>
        <v/>
      </c>
      <c r="I122" s="3" t="str">
        <f>IF($A122="","",Konferens!I42)</f>
        <v/>
      </c>
      <c r="J122" s="3" t="str">
        <f>IF($A122="","",IFERROR(Konferens!O42,""))</f>
        <v/>
      </c>
    </row>
    <row r="123" spans="1:10">
      <c r="A123" s="3" t="str">
        <f>IF(Konferens!A43="Ja","Konferens","")</f>
        <v/>
      </c>
      <c r="B123" s="3" t="str">
        <f>IF($A123="","",Konferens!B43)</f>
        <v/>
      </c>
      <c r="C123" s="3" t="str">
        <f>IF($A123="","",Konferens!C43)</f>
        <v/>
      </c>
      <c r="D123" s="3" t="str">
        <f>IF($A123="","",Konferens!D43)</f>
        <v/>
      </c>
      <c r="E123" s="3" t="str">
        <f>IF($A123="","",Konferens!E43)</f>
        <v/>
      </c>
      <c r="F123" s="3" t="str">
        <f>IF($A123="","",Konferens!F43)</f>
        <v/>
      </c>
      <c r="G123" s="15" t="str">
        <f>IF($A123="","",Konferens!M43)</f>
        <v/>
      </c>
      <c r="H123" s="16" t="str">
        <f>IF($A123="","",Konferens!N43)</f>
        <v/>
      </c>
      <c r="I123" s="3" t="str">
        <f>IF($A123="","",Konferens!I43)</f>
        <v/>
      </c>
      <c r="J123" s="3" t="str">
        <f>IF($A123="","",IFERROR(Konferens!O43,""))</f>
        <v/>
      </c>
    </row>
    <row r="124" spans="1:10">
      <c r="A124" s="3" t="str">
        <f>IF(Konferens!A44="Ja","Konferens","")</f>
        <v/>
      </c>
      <c r="B124" s="3" t="str">
        <f>IF($A124="","",Konferens!B44)</f>
        <v/>
      </c>
      <c r="C124" s="3" t="str">
        <f>IF($A124="","",Konferens!C44)</f>
        <v/>
      </c>
      <c r="D124" s="3" t="str">
        <f>IF($A124="","",Konferens!D44)</f>
        <v/>
      </c>
      <c r="E124" s="3" t="str">
        <f>IF($A124="","",Konferens!E44)</f>
        <v/>
      </c>
      <c r="F124" s="3" t="str">
        <f>IF($A124="","",Konferens!F44)</f>
        <v/>
      </c>
      <c r="G124" s="15" t="str">
        <f>IF($A124="","",Konferens!M44)</f>
        <v/>
      </c>
      <c r="H124" s="16" t="str">
        <f>IF($A124="","",Konferens!N44)</f>
        <v/>
      </c>
      <c r="I124" s="3" t="str">
        <f>IF($A124="","",Konferens!I44)</f>
        <v/>
      </c>
      <c r="J124" s="3" t="str">
        <f>IF($A124="","",IFERROR(Konferens!O44,""))</f>
        <v/>
      </c>
    </row>
    <row r="125" spans="1:10">
      <c r="A125" s="3" t="str">
        <f>IF(Konferens!A45="Ja","Konferens","")</f>
        <v/>
      </c>
      <c r="B125" s="3" t="str">
        <f>IF($A125="","",Konferens!B45)</f>
        <v/>
      </c>
      <c r="C125" s="3" t="str">
        <f>IF($A125="","",Konferens!C45)</f>
        <v/>
      </c>
      <c r="D125" s="3" t="str">
        <f>IF($A125="","",Konferens!D45)</f>
        <v/>
      </c>
      <c r="E125" s="3" t="str">
        <f>IF($A125="","",Konferens!E45)</f>
        <v/>
      </c>
      <c r="F125" s="3" t="str">
        <f>IF($A125="","",Konferens!F45)</f>
        <v/>
      </c>
      <c r="G125" s="15" t="str">
        <f>IF($A125="","",Konferens!M45)</f>
        <v/>
      </c>
      <c r="H125" s="16" t="str">
        <f>IF($A125="","",Konferens!N45)</f>
        <v/>
      </c>
      <c r="I125" s="3" t="str">
        <f>IF($A125="","",Konferens!I45)</f>
        <v/>
      </c>
      <c r="J125" s="3" t="str">
        <f>IF($A125="","",IFERROR(Konferens!O45,""))</f>
        <v/>
      </c>
    </row>
    <row r="126" spans="1:10">
      <c r="A126" s="3" t="str">
        <f>IF(Konferens!A46="Ja","Konferens","")</f>
        <v/>
      </c>
      <c r="B126" s="3" t="str">
        <f>IF($A126="","",Konferens!B46)</f>
        <v/>
      </c>
      <c r="C126" s="3" t="str">
        <f>IF($A126="","",Konferens!C46)</f>
        <v/>
      </c>
      <c r="D126" s="3" t="str">
        <f>IF($A126="","",Konferens!D46)</f>
        <v/>
      </c>
      <c r="E126" s="3" t="str">
        <f>IF($A126="","",Konferens!E46)</f>
        <v/>
      </c>
      <c r="F126" s="3" t="str">
        <f>IF($A126="","",Konferens!F46)</f>
        <v/>
      </c>
      <c r="G126" s="15" t="str">
        <f>IF($A126="","",Konferens!M46)</f>
        <v/>
      </c>
      <c r="H126" s="16" t="str">
        <f>IF($A126="","",Konferens!N46)</f>
        <v/>
      </c>
      <c r="I126" s="3" t="str">
        <f>IF($A126="","",Konferens!I46)</f>
        <v/>
      </c>
      <c r="J126" s="3" t="str">
        <f>IF($A126="","",IFERROR(Konferens!O46,""))</f>
        <v/>
      </c>
    </row>
    <row r="127" spans="1:10">
      <c r="A127" s="3" t="str">
        <f>IF(Restaurang!A7="Ja","Restaurang","")</f>
        <v>Restaurang</v>
      </c>
      <c r="B127" s="3" t="str">
        <f>IF($A127="","",Restaurang!B7)</f>
        <v>venueType</v>
      </c>
      <c r="C127" s="3" t="str">
        <f>IF($A127="","",Restaurang!C7)</f>
        <v>small</v>
      </c>
      <c r="D127" s="3" t="str">
        <f>IF($A127="","",Restaurang!D7)</f>
        <v>venueType:small</v>
      </c>
      <c r="E127" s="3" t="str">
        <f>IF($A127="","",Restaurang!E7)</f>
        <v>Lokaltyp och grundlogik</v>
      </c>
      <c r="F127" s="3" t="str">
        <f>IF($A127="","",Restaurang!F7)</f>
        <v>Fast</v>
      </c>
      <c r="G127" s="15">
        <f>IF($A127="","",Restaurang!M7)</f>
        <v>0</v>
      </c>
      <c r="H127" s="16">
        <f>IF($A127="","",Restaurang!N7)</f>
        <v>0</v>
      </c>
      <c r="I127" s="3" t="str">
        <f>IF($A127="","",Restaurang!I7)</f>
        <v>Nej</v>
      </c>
      <c r="J127" s="3" t="str">
        <f>IF($A127="","",IFERROR(Restaurang!O7,""))</f>
        <v>Mindre restaurang. TESTSTARTVÄRDE.</v>
      </c>
    </row>
    <row r="128" spans="1:10">
      <c r="A128" s="3" t="str">
        <f>IF(Restaurang!A8="Ja","Restaurang","")</f>
        <v>Restaurang</v>
      </c>
      <c r="B128" s="3" t="str">
        <f>IF($A128="","",Restaurang!B8)</f>
        <v>venueType</v>
      </c>
      <c r="C128" s="3" t="str">
        <f>IF($A128="","",Restaurang!C8)</f>
        <v>medium</v>
      </c>
      <c r="D128" s="3" t="str">
        <f>IF($A128="","",Restaurang!D8)</f>
        <v>venueType:medium</v>
      </c>
      <c r="E128" s="3" t="str">
        <f>IF($A128="","",Restaurang!E8)</f>
        <v>Lokaltyp och grundlogik</v>
      </c>
      <c r="F128" s="3" t="str">
        <f>IF($A128="","",Restaurang!F8)</f>
        <v>Fast</v>
      </c>
      <c r="G128" s="15">
        <f>IF($A128="","",Restaurang!M8)</f>
        <v>12000</v>
      </c>
      <c r="H128" s="16">
        <f>IF($A128="","",Restaurang!N8)</f>
        <v>2</v>
      </c>
      <c r="I128" s="3" t="str">
        <f>IF($A128="","",Restaurang!I8)</f>
        <v>Nej</v>
      </c>
      <c r="J128" s="3" t="str">
        <f>IF($A128="","",IFERROR(Restaurang!O8,""))</f>
        <v>Mellanstor restaurang. TESTSTARTVÄRDE.</v>
      </c>
    </row>
    <row r="129" spans="1:10">
      <c r="A129" s="3" t="str">
        <f>IF(Restaurang!A9="Ja","Restaurang","")</f>
        <v>Restaurang</v>
      </c>
      <c r="B129" s="3" t="str">
        <f>IF($A129="","",Restaurang!B9)</f>
        <v>venueType</v>
      </c>
      <c r="C129" s="3" t="str">
        <f>IF($A129="","",Restaurang!C9)</f>
        <v>large</v>
      </c>
      <c r="D129" s="3" t="str">
        <f>IF($A129="","",Restaurang!D9)</f>
        <v>venueType:large</v>
      </c>
      <c r="E129" s="3" t="str">
        <f>IF($A129="","",Restaurang!E9)</f>
        <v>Lokaltyp och grundlogik</v>
      </c>
      <c r="F129" s="3" t="str">
        <f>IF($A129="","",Restaurang!F9)</f>
        <v>Fast</v>
      </c>
      <c r="G129" s="15">
        <f>IF($A129="","",Restaurang!M9)</f>
        <v>25000</v>
      </c>
      <c r="H129" s="16">
        <f>IF($A129="","",Restaurang!N9)</f>
        <v>4</v>
      </c>
      <c r="I129" s="3" t="str">
        <f>IF($A129="","",Restaurang!I9)</f>
        <v>Nej</v>
      </c>
      <c r="J129" s="3" t="str">
        <f>IF($A129="","",IFERROR(Restaurang!O9,""))</f>
        <v>Större restaurang/flera ytor. TESTSTARTVÄRDE.</v>
      </c>
    </row>
    <row r="130" spans="1:10">
      <c r="A130" s="3" t="str">
        <f>IF(Restaurang!A10="Ja","Restaurang","")</f>
        <v>Restaurang</v>
      </c>
      <c r="B130" s="3" t="str">
        <f>IF($A130="","",Restaurang!B10)</f>
        <v>basePackage</v>
      </c>
      <c r="C130" s="3" t="str">
        <f>IF($A130="","",Restaurang!C10)</f>
        <v>background</v>
      </c>
      <c r="D130" s="3" t="str">
        <f>IF($A130="","",Restaurang!D10)</f>
        <v>basePackage:background</v>
      </c>
      <c r="E130" s="3" t="str">
        <f>IF($A130="","",Restaurang!E10)</f>
        <v>Bakgrundsljud</v>
      </c>
      <c r="F130" s="3" t="str">
        <f>IF($A130="","",Restaurang!F10)</f>
        <v>Fast</v>
      </c>
      <c r="G130" s="15">
        <f>IF($A130="","",Restaurang!M10)</f>
        <v>65000</v>
      </c>
      <c r="H130" s="16">
        <f>IF($A130="","",Restaurang!N10)</f>
        <v>14</v>
      </c>
      <c r="I130" s="3" t="str">
        <f>IF($A130="","",Restaurang!I10)</f>
        <v>Nej</v>
      </c>
      <c r="J130" s="3" t="str">
        <f>IF($A130="","",IFERROR(Restaurang!O10,""))</f>
        <v>Grundpaket bakgrundsljud. TESTSTARTVÄRDE.</v>
      </c>
    </row>
    <row r="131" spans="1:10">
      <c r="A131" s="3" t="str">
        <f>IF(Restaurang!A11="Ja","Restaurang","")</f>
        <v>Restaurang</v>
      </c>
      <c r="B131" s="3" t="str">
        <f>IF($A131="","",Restaurang!B11)</f>
        <v>basePackage</v>
      </c>
      <c r="C131" s="3" t="str">
        <f>IF($A131="","",Restaurang!C11)</f>
        <v>multizone</v>
      </c>
      <c r="D131" s="3" t="str">
        <f>IF($A131="","",Restaurang!D11)</f>
        <v>basePackage:multizone</v>
      </c>
      <c r="E131" s="3" t="str">
        <f>IF($A131="","",Restaurang!E11)</f>
        <v>Zonstyrt restaurangljud</v>
      </c>
      <c r="F131" s="3" t="str">
        <f>IF($A131="","",Restaurang!F11)</f>
        <v>Fast</v>
      </c>
      <c r="G131" s="15">
        <f>IF($A131="","",Restaurang!M11)</f>
        <v>105000</v>
      </c>
      <c r="H131" s="16">
        <f>IF($A131="","",Restaurang!N11)</f>
        <v>20</v>
      </c>
      <c r="I131" s="3" t="str">
        <f>IF($A131="","",Restaurang!I11)</f>
        <v>Nej</v>
      </c>
      <c r="J131" s="3" t="str">
        <f>IF($A131="","",IFERROR(Restaurang!O11,""))</f>
        <v>Flera ljudzoner. TESTSTARTVÄRDE.</v>
      </c>
    </row>
    <row r="132" spans="1:10">
      <c r="A132" s="3" t="str">
        <f>IF(Restaurang!A12="Ja","Restaurang","")</f>
        <v>Restaurang</v>
      </c>
      <c r="B132" s="3" t="str">
        <f>IF($A132="","",Restaurang!B12)</f>
        <v>basePackage</v>
      </c>
      <c r="C132" s="3" t="str">
        <f>IF($A132="","",Restaurang!C12)</f>
        <v>event</v>
      </c>
      <c r="D132" s="3" t="str">
        <f>IF($A132="","",Restaurang!D12)</f>
        <v>basePackage:event</v>
      </c>
      <c r="E132" s="3" t="str">
        <f>IF($A132="","",Restaurang!E12)</f>
        <v>Restaurang + event/fest</v>
      </c>
      <c r="F132" s="3" t="str">
        <f>IF($A132="","",Restaurang!F12)</f>
        <v>Fast</v>
      </c>
      <c r="G132" s="15">
        <f>IF($A132="","",Restaurang!M12)</f>
        <v>160000</v>
      </c>
      <c r="H132" s="16">
        <f>IF($A132="","",Restaurang!N12)</f>
        <v>28</v>
      </c>
      <c r="I132" s="3" t="str">
        <f>IF($A132="","",Restaurang!I12)</f>
        <v>Nej</v>
      </c>
      <c r="J132" s="3" t="str">
        <f>IF($A132="","",IFERROR(Restaurang!O12,""))</f>
        <v>Utökad ljudnivå och eventfunktion. TESTSTARTVÄRDE.</v>
      </c>
    </row>
    <row r="133" spans="1:10">
      <c r="A133" s="3" t="str">
        <f>IF(Restaurang!A13="Ja","Restaurang","")</f>
        <v>Restaurang</v>
      </c>
      <c r="B133" s="3" t="str">
        <f>IF($A133="","",Restaurang!B13)</f>
        <v>control</v>
      </c>
      <c r="C133" s="3" t="str">
        <f>IF($A133="","",Restaurang!C13)</f>
        <v>knob</v>
      </c>
      <c r="D133" s="3" t="str">
        <f>IF($A133="","",Restaurang!D13)</f>
        <v>control:knob</v>
      </c>
      <c r="E133" s="3" t="str">
        <f>IF($A133="","",Restaurang!E13)</f>
        <v>Styrning</v>
      </c>
      <c r="F133" s="3" t="str">
        <f>IF($A133="","",Restaurang!F13)</f>
        <v>Fast</v>
      </c>
      <c r="G133" s="15">
        <f>IF($A133="","",Restaurang!M13)</f>
        <v>6500</v>
      </c>
      <c r="H133" s="16">
        <f>IF($A133="","",Restaurang!N13)</f>
        <v>2</v>
      </c>
      <c r="I133" s="3" t="str">
        <f>IF($A133="","",Restaurang!I13)</f>
        <v>Nej</v>
      </c>
      <c r="J133" s="3" t="str">
        <f>IF($A133="","",IFERROR(Restaurang!O13,""))</f>
        <v>Vridreglage. TESTSTARTVÄRDE.</v>
      </c>
    </row>
    <row r="134" spans="1:10">
      <c r="A134" s="3" t="str">
        <f>IF(Restaurang!A14="Ja","Restaurang","")</f>
        <v>Restaurang</v>
      </c>
      <c r="B134" s="3" t="str">
        <f>IF($A134="","",Restaurang!B14)</f>
        <v>control</v>
      </c>
      <c r="C134" s="3" t="str">
        <f>IF($A134="","",Restaurang!C14)</f>
        <v>touch</v>
      </c>
      <c r="D134" s="3" t="str">
        <f>IF($A134="","",Restaurang!D14)</f>
        <v>control:touch</v>
      </c>
      <c r="E134" s="3" t="str">
        <f>IF($A134="","",Restaurang!E14)</f>
        <v>Styrning</v>
      </c>
      <c r="F134" s="3" t="str">
        <f>IF($A134="","",Restaurang!F14)</f>
        <v>Fast</v>
      </c>
      <c r="G134" s="15">
        <f>IF($A134="","",Restaurang!M14)</f>
        <v>24000</v>
      </c>
      <c r="H134" s="16">
        <f>IF($A134="","",Restaurang!N14)</f>
        <v>4</v>
      </c>
      <c r="I134" s="3" t="str">
        <f>IF($A134="","",Restaurang!I14)</f>
        <v>Nej</v>
      </c>
      <c r="J134" s="3" t="str">
        <f>IF($A134="","",IFERROR(Restaurang!O14,""))</f>
        <v>Touch-/appstyrning. TESTSTARTVÄRDE.</v>
      </c>
    </row>
    <row r="135" spans="1:10">
      <c r="A135" s="3" t="str">
        <f>IF(Restaurang!A15="Ja","Restaurang","")</f>
        <v>Restaurang</v>
      </c>
      <c r="B135" s="3" t="str">
        <f>IF($A135="","",Restaurang!B15)</f>
        <v>unit</v>
      </c>
      <c r="C135" s="3" t="str">
        <f>IF($A135="","",Restaurang!C15)</f>
        <v>zoneSmall</v>
      </c>
      <c r="D135" s="3" t="str">
        <f>IF($A135="","",Restaurang!D15)</f>
        <v>unit:zoneSmall</v>
      </c>
      <c r="E135" s="3" t="str">
        <f>IF($A135="","",Restaurang!E15)</f>
        <v>Extra ljudzoner</v>
      </c>
      <c r="F135" s="3" t="str">
        <f>IF($A135="","",Restaurang!F15)</f>
        <v>Enhet</v>
      </c>
      <c r="G135" s="15">
        <f>IF($A135="","",Restaurang!M15)</f>
        <v>18000</v>
      </c>
      <c r="H135" s="16">
        <f>IF($A135="","",Restaurang!N15)</f>
        <v>5</v>
      </c>
      <c r="I135" s="3" t="str">
        <f>IF($A135="","",Restaurang!I15)</f>
        <v>Nej</v>
      </c>
      <c r="J135" s="3" t="str">
        <f>IF($A135="","",IFERROR(Restaurang!O15,""))</f>
        <v>Zon 20–50 m². TESTSTARTVÄRDE.</v>
      </c>
    </row>
    <row r="136" spans="1:10">
      <c r="A136" s="3" t="str">
        <f>IF(Restaurang!A16="Ja","Restaurang","")</f>
        <v>Restaurang</v>
      </c>
      <c r="B136" s="3" t="str">
        <f>IF($A136="","",Restaurang!B16)</f>
        <v>unit</v>
      </c>
      <c r="C136" s="3" t="str">
        <f>IF($A136="","",Restaurang!C16)</f>
        <v>zoneMedium</v>
      </c>
      <c r="D136" s="3" t="str">
        <f>IF($A136="","",Restaurang!D16)</f>
        <v>unit:zoneMedium</v>
      </c>
      <c r="E136" s="3" t="str">
        <f>IF($A136="","",Restaurang!E16)</f>
        <v>Extra ljudzoner</v>
      </c>
      <c r="F136" s="3" t="str">
        <f>IF($A136="","",Restaurang!F16)</f>
        <v>Enhet</v>
      </c>
      <c r="G136" s="15">
        <f>IF($A136="","",Restaurang!M16)</f>
        <v>28000</v>
      </c>
      <c r="H136" s="16">
        <f>IF($A136="","",Restaurang!N16)</f>
        <v>7</v>
      </c>
      <c r="I136" s="3" t="str">
        <f>IF($A136="","",Restaurang!I16)</f>
        <v>Nej</v>
      </c>
      <c r="J136" s="3" t="str">
        <f>IF($A136="","",IFERROR(Restaurang!O16,""))</f>
        <v>Zon 50–100 m². TESTSTARTVÄRDE.</v>
      </c>
    </row>
    <row r="137" spans="1:10">
      <c r="A137" s="3" t="str">
        <f>IF(Restaurang!A17="Ja","Restaurang","")</f>
        <v>Restaurang</v>
      </c>
      <c r="B137" s="3" t="str">
        <f>IF($A137="","",Restaurang!B17)</f>
        <v>unit</v>
      </c>
      <c r="C137" s="3" t="str">
        <f>IF($A137="","",Restaurang!C17)</f>
        <v>zoneLarge</v>
      </c>
      <c r="D137" s="3" t="str">
        <f>IF($A137="","",Restaurang!D17)</f>
        <v>unit:zoneLarge</v>
      </c>
      <c r="E137" s="3" t="str">
        <f>IF($A137="","",Restaurang!E17)</f>
        <v>Extra ljudzoner</v>
      </c>
      <c r="F137" s="3" t="str">
        <f>IF($A137="","",Restaurang!F17)</f>
        <v>Enhet</v>
      </c>
      <c r="G137" s="15">
        <f>IF($A137="","",Restaurang!M17)</f>
        <v>42000</v>
      </c>
      <c r="H137" s="16">
        <f>IF($A137="","",Restaurang!N17)</f>
        <v>10</v>
      </c>
      <c r="I137" s="3" t="str">
        <f>IF($A137="","",Restaurang!I17)</f>
        <v>Nej</v>
      </c>
      <c r="J137" s="3" t="str">
        <f>IF($A137="","",IFERROR(Restaurang!O17,""))</f>
        <v>Zon 100–200 m². TESTSTARTVÄRDE.</v>
      </c>
    </row>
    <row r="138" spans="1:10">
      <c r="A138" s="3" t="str">
        <f>IF(Restaurang!A18="Ja","Restaurang","")</f>
        <v>Restaurang</v>
      </c>
      <c r="B138" s="3" t="str">
        <f>IF($A138="","",Restaurang!B18)</f>
        <v>unit</v>
      </c>
      <c r="C138" s="3" t="str">
        <f>IF($A138="","",Restaurang!C18)</f>
        <v>outdoorZone</v>
      </c>
      <c r="D138" s="3" t="str">
        <f>IF($A138="","",Restaurang!D18)</f>
        <v>unit:outdoorZone</v>
      </c>
      <c r="E138" s="3" t="str">
        <f>IF($A138="","",Restaurang!E18)</f>
        <v>Uteservering/utomhuszon</v>
      </c>
      <c r="F138" s="3" t="str">
        <f>IF($A138="","",Restaurang!F18)</f>
        <v>Enhet</v>
      </c>
      <c r="G138" s="15">
        <f>IF($A138="","",Restaurang!M18)</f>
        <v>32000</v>
      </c>
      <c r="H138" s="16">
        <f>IF($A138="","",Restaurang!N18)</f>
        <v>8</v>
      </c>
      <c r="I138" s="3" t="str">
        <f>IF($A138="","",Restaurang!I18)</f>
        <v>Nej</v>
      </c>
      <c r="J138" s="3" t="str">
        <f>IF($A138="","",IFERROR(Restaurang!O18,""))</f>
        <v>TESTSTARTVÄRDE.</v>
      </c>
    </row>
    <row r="139" spans="1:10">
      <c r="A139" s="3" t="str">
        <f>IF(Restaurang!A19="Ja","Restaurang","")</f>
        <v>Restaurang</v>
      </c>
      <c r="B139" s="3" t="str">
        <f>IF($A139="","",Restaurang!B19)</f>
        <v>unit</v>
      </c>
      <c r="C139" s="3" t="str">
        <f>IF($A139="","",Restaurang!C19)</f>
        <v>bluetooth</v>
      </c>
      <c r="D139" s="3" t="str">
        <f>IF($A139="","",Restaurang!D19)</f>
        <v>unit:bluetooth</v>
      </c>
      <c r="E139" s="3" t="str">
        <f>IF($A139="","",Restaurang!E19)</f>
        <v>Musikanslutning</v>
      </c>
      <c r="F139" s="3" t="str">
        <f>IF($A139="","",Restaurang!F19)</f>
        <v>Enhet</v>
      </c>
      <c r="G139" s="15">
        <f>IF($A139="","",Restaurang!M19)</f>
        <v>4200</v>
      </c>
      <c r="H139" s="16">
        <f>IF($A139="","",Restaurang!N19)</f>
        <v>0.5</v>
      </c>
      <c r="I139" s="3" t="str">
        <f>IF($A139="","",Restaurang!I19)</f>
        <v>Nej</v>
      </c>
      <c r="J139" s="3" t="str">
        <f>IF($A139="","",IFERROR(Restaurang!O19,""))</f>
        <v>Bluetooth-mottagare. TESTSTARTVÄRDE.</v>
      </c>
    </row>
    <row r="140" spans="1:10">
      <c r="A140" s="3" t="str">
        <f>IF(Restaurang!A20="Ja","Restaurang","")</f>
        <v>Restaurang</v>
      </c>
      <c r="B140" s="3" t="str">
        <f>IF($A140="","",Restaurang!B20)</f>
        <v>unit</v>
      </c>
      <c r="C140" s="3" t="str">
        <f>IF($A140="","",Restaurang!C20)</f>
        <v>handMic</v>
      </c>
      <c r="D140" s="3" t="str">
        <f>IF($A140="","",Restaurang!D20)</f>
        <v>unit:handMic</v>
      </c>
      <c r="E140" s="3" t="str">
        <f>IF($A140="","",Restaurang!E20)</f>
        <v>Mikrofoner</v>
      </c>
      <c r="F140" s="3" t="str">
        <f>IF($A140="","",Restaurang!F20)</f>
        <v>Enhet</v>
      </c>
      <c r="G140" s="15">
        <f>IF($A140="","",Restaurang!M20)</f>
        <v>7900</v>
      </c>
      <c r="H140" s="16">
        <f>IF($A140="","",Restaurang!N20)</f>
        <v>0.5</v>
      </c>
      <c r="I140" s="3" t="str">
        <f>IF($A140="","",Restaurang!I20)</f>
        <v>Nej</v>
      </c>
      <c r="J140" s="3" t="str">
        <f>IF($A140="","",IFERROR(Restaurang!O20,""))</f>
        <v>Trådlös handmikrofon. TESTSTARTVÄRDE.</v>
      </c>
    </row>
    <row r="141" spans="1:10">
      <c r="A141" s="3" t="str">
        <f>IF(Restaurang!A21="Ja","Restaurang","")</f>
        <v>Restaurang</v>
      </c>
      <c r="B141" s="3" t="str">
        <f>IF($A141="","",Restaurang!B21)</f>
        <v>display</v>
      </c>
      <c r="C141" s="3" t="str">
        <f>IF($A141="","",Restaurang!C21)</f>
        <v>signage</v>
      </c>
      <c r="D141" s="3" t="str">
        <f>IF($A141="","",Restaurang!D21)</f>
        <v>display:signage</v>
      </c>
      <c r="E141" s="3" t="str">
        <f>IF($A141="","",Restaurang!E21)</f>
        <v>Digital signage/skärm</v>
      </c>
      <c r="F141" s="3" t="str">
        <f>IF($A141="","",Restaurang!F21)</f>
        <v>Fast</v>
      </c>
      <c r="G141" s="15">
        <f>IF($A141="","",Restaurang!M21)</f>
        <v>25000</v>
      </c>
      <c r="H141" s="16">
        <f>IF($A141="","",Restaurang!N21)</f>
        <v>4</v>
      </c>
      <c r="I141" s="3" t="str">
        <f>IF($A141="","",Restaurang!I21)</f>
        <v>Nej</v>
      </c>
      <c r="J141" s="3" t="str">
        <f>IF($A141="","",IFERROR(Restaurang!O21,""))</f>
        <v>Grundpaket skärm/signage. TESTSTARTVÄRDE.</v>
      </c>
    </row>
    <row r="142" spans="1:10">
      <c r="A142" s="3" t="str">
        <f>IF(Restaurang!A22="Ja","Restaurang","")</f>
        <v>Restaurang</v>
      </c>
      <c r="B142" s="3" t="str">
        <f>IF($A142="","",Restaurang!B22)</f>
        <v>event</v>
      </c>
      <c r="C142" s="3" t="str">
        <f>IF($A142="","",Restaurang!C22)</f>
        <v>djInput</v>
      </c>
      <c r="D142" s="3" t="str">
        <f>IF($A142="","",Restaurang!D22)</f>
        <v>event:djInput</v>
      </c>
      <c r="E142" s="3" t="str">
        <f>IF($A142="","",Restaurang!E22)</f>
        <v>DJ-/eventanslutning</v>
      </c>
      <c r="F142" s="3" t="str">
        <f>IF($A142="","",Restaurang!F22)</f>
        <v>Fast</v>
      </c>
      <c r="G142" s="15">
        <f>IF($A142="","",Restaurang!M22)</f>
        <v>18000</v>
      </c>
      <c r="H142" s="16">
        <f>IF($A142="","",Restaurang!N22)</f>
        <v>4</v>
      </c>
      <c r="I142" s="3" t="str">
        <f>IF($A142="","",Restaurang!I22)</f>
        <v>Nej</v>
      </c>
      <c r="J142" s="3" t="str">
        <f>IF($A142="","",IFERROR(Restaurang!O22,""))</f>
        <v>Inkopplingspunkt och signalväg. TESTSTARTVÄRDE.</v>
      </c>
    </row>
    <row r="143" spans="1:10">
      <c r="A143" s="3" t="str">
        <f>IF(Restaurang!A23="Ja","Restaurang","")</f>
        <v>Restaurang</v>
      </c>
      <c r="B143" s="3" t="str">
        <f>IF($A143="","",Restaurang!B23)</f>
        <v>checks</v>
      </c>
      <c r="C143" s="3" t="str">
        <f>IF($A143="","",Restaurang!C23)</f>
        <v>documentation</v>
      </c>
      <c r="D143" s="3" t="str">
        <f>IF($A143="","",Restaurang!D23)</f>
        <v>checks:documentation</v>
      </c>
      <c r="E143" s="3" t="str">
        <f>IF($A143="","",Restaurang!E23)</f>
        <v>Relationshandling och dokumentation</v>
      </c>
      <c r="F143" s="3" t="str">
        <f>IF($A143="","",Restaurang!F23)</f>
        <v>Fast</v>
      </c>
      <c r="G143" s="15">
        <f>IF($A143="","",Restaurang!M23)</f>
        <v>9000</v>
      </c>
      <c r="H143" s="16">
        <f>IF($A143="","",Restaurang!N23)</f>
        <v>3</v>
      </c>
      <c r="I143" s="3" t="str">
        <f>IF($A143="","",Restaurang!I23)</f>
        <v>Nej</v>
      </c>
      <c r="J143" s="3" t="str">
        <f>IF($A143="","",IFERROR(Restaurang!O23,""))</f>
        <v>TESTSTARTVÄRDE.</v>
      </c>
    </row>
    <row r="144" spans="1:10">
      <c r="A144" s="3" t="str">
        <f>IF(Restaurang!A24="Ja","Restaurang","")</f>
        <v>Restaurang</v>
      </c>
      <c r="B144" s="3" t="str">
        <f>IF($A144="","",Restaurang!B24)</f>
        <v>checks</v>
      </c>
      <c r="C144" s="3" t="str">
        <f>IF($A144="","",Restaurang!C24)</f>
        <v>warranty5</v>
      </c>
      <c r="D144" s="3" t="str">
        <f>IF($A144="","",Restaurang!D24)</f>
        <v>checks:warranty5</v>
      </c>
      <c r="E144" s="3" t="str">
        <f>IF($A144="","",Restaurang!E24)</f>
        <v>Garanti och materialhantering</v>
      </c>
      <c r="F144" s="3" t="str">
        <f>IF($A144="","",Restaurang!F24)</f>
        <v>Procent</v>
      </c>
      <c r="G144" s="15">
        <f>IF($A144="","",Restaurang!M24)</f>
        <v>0</v>
      </c>
      <c r="H144" s="16">
        <f>IF($A144="","",Restaurang!N24)</f>
        <v>0</v>
      </c>
      <c r="I144" s="3" t="str">
        <f>IF($A144="","",Restaurang!I24)</f>
        <v>Nej</v>
      </c>
      <c r="J144" s="3" t="str">
        <f>IF($A144="","",IFERROR(Restaurang!O24,""))</f>
        <v>10 % på subtotal som testregel.</v>
      </c>
    </row>
    <row r="145" spans="1:10">
      <c r="A145" s="3" t="str">
        <f>IF(Restaurang!A25="Ja","Restaurang","")</f>
        <v/>
      </c>
      <c r="B145" s="3" t="str">
        <f>IF($A145="","",Restaurang!B25)</f>
        <v/>
      </c>
      <c r="C145" s="3" t="str">
        <f>IF($A145="","",Restaurang!C25)</f>
        <v/>
      </c>
      <c r="D145" s="3" t="str">
        <f>IF($A145="","",Restaurang!D25)</f>
        <v/>
      </c>
      <c r="E145" s="3" t="str">
        <f>IF($A145="","",Restaurang!E25)</f>
        <v/>
      </c>
      <c r="F145" s="3" t="str">
        <f>IF($A145="","",Restaurang!F25)</f>
        <v/>
      </c>
      <c r="G145" s="15" t="str">
        <f>IF($A145="","",Restaurang!M25)</f>
        <v/>
      </c>
      <c r="H145" s="16" t="str">
        <f>IF($A145="","",Restaurang!N25)</f>
        <v/>
      </c>
      <c r="I145" s="3" t="str">
        <f>IF($A145="","",Restaurang!I25)</f>
        <v/>
      </c>
      <c r="J145" s="3" t="str">
        <f>IF($A145="","",IFERROR(Restaurang!O25,""))</f>
        <v/>
      </c>
    </row>
    <row r="146" spans="1:10">
      <c r="A146" s="3" t="str">
        <f>IF(Restaurang!A26="Ja","Restaurang","")</f>
        <v/>
      </c>
      <c r="B146" s="3" t="str">
        <f>IF($A146="","",Restaurang!B26)</f>
        <v/>
      </c>
      <c r="C146" s="3" t="str">
        <f>IF($A146="","",Restaurang!C26)</f>
        <v/>
      </c>
      <c r="D146" s="3" t="str">
        <f>IF($A146="","",Restaurang!D26)</f>
        <v/>
      </c>
      <c r="E146" s="3" t="str">
        <f>IF($A146="","",Restaurang!E26)</f>
        <v/>
      </c>
      <c r="F146" s="3" t="str">
        <f>IF($A146="","",Restaurang!F26)</f>
        <v/>
      </c>
      <c r="G146" s="15" t="str">
        <f>IF($A146="","",Restaurang!M26)</f>
        <v/>
      </c>
      <c r="H146" s="16" t="str">
        <f>IF($A146="","",Restaurang!N26)</f>
        <v/>
      </c>
      <c r="I146" s="3" t="str">
        <f>IF($A146="","",Restaurang!I26)</f>
        <v/>
      </c>
      <c r="J146" s="3" t="str">
        <f>IF($A146="","",IFERROR(Restaurang!O26,""))</f>
        <v/>
      </c>
    </row>
    <row r="147" spans="1:10">
      <c r="A147" s="3" t="str">
        <f>IF(Restaurang!A27="Ja","Restaurang","")</f>
        <v/>
      </c>
      <c r="B147" s="3" t="str">
        <f>IF($A147="","",Restaurang!B27)</f>
        <v/>
      </c>
      <c r="C147" s="3" t="str">
        <f>IF($A147="","",Restaurang!C27)</f>
        <v/>
      </c>
      <c r="D147" s="3" t="str">
        <f>IF($A147="","",Restaurang!D27)</f>
        <v/>
      </c>
      <c r="E147" s="3" t="str">
        <f>IF($A147="","",Restaurang!E27)</f>
        <v/>
      </c>
      <c r="F147" s="3" t="str">
        <f>IF($A147="","",Restaurang!F27)</f>
        <v/>
      </c>
      <c r="G147" s="15" t="str">
        <f>IF($A147="","",Restaurang!M27)</f>
        <v/>
      </c>
      <c r="H147" s="16" t="str">
        <f>IF($A147="","",Restaurang!N27)</f>
        <v/>
      </c>
      <c r="I147" s="3" t="str">
        <f>IF($A147="","",Restaurang!I27)</f>
        <v/>
      </c>
      <c r="J147" s="3" t="str">
        <f>IF($A147="","",IFERROR(Restaurang!O27,""))</f>
        <v/>
      </c>
    </row>
    <row r="148" spans="1:10">
      <c r="A148" s="3" t="str">
        <f>IF(Restaurang!A28="Ja","Restaurang","")</f>
        <v/>
      </c>
      <c r="B148" s="3" t="str">
        <f>IF($A148="","",Restaurang!B28)</f>
        <v/>
      </c>
      <c r="C148" s="3" t="str">
        <f>IF($A148="","",Restaurang!C28)</f>
        <v/>
      </c>
      <c r="D148" s="3" t="str">
        <f>IF($A148="","",Restaurang!D28)</f>
        <v/>
      </c>
      <c r="E148" s="3" t="str">
        <f>IF($A148="","",Restaurang!E28)</f>
        <v/>
      </c>
      <c r="F148" s="3" t="str">
        <f>IF($A148="","",Restaurang!F28)</f>
        <v/>
      </c>
      <c r="G148" s="15" t="str">
        <f>IF($A148="","",Restaurang!M28)</f>
        <v/>
      </c>
      <c r="H148" s="16" t="str">
        <f>IF($A148="","",Restaurang!N28)</f>
        <v/>
      </c>
      <c r="I148" s="3" t="str">
        <f>IF($A148="","",Restaurang!I28)</f>
        <v/>
      </c>
      <c r="J148" s="3" t="str">
        <f>IF($A148="","",IFERROR(Restaurang!O28,""))</f>
        <v/>
      </c>
    </row>
    <row r="149" spans="1:10">
      <c r="A149" s="3" t="str">
        <f>IF(Restaurang!A29="Ja","Restaurang","")</f>
        <v/>
      </c>
      <c r="B149" s="3" t="str">
        <f>IF($A149="","",Restaurang!B29)</f>
        <v/>
      </c>
      <c r="C149" s="3" t="str">
        <f>IF($A149="","",Restaurang!C29)</f>
        <v/>
      </c>
      <c r="D149" s="3" t="str">
        <f>IF($A149="","",Restaurang!D29)</f>
        <v/>
      </c>
      <c r="E149" s="3" t="str">
        <f>IF($A149="","",Restaurang!E29)</f>
        <v/>
      </c>
      <c r="F149" s="3" t="str">
        <f>IF($A149="","",Restaurang!F29)</f>
        <v/>
      </c>
      <c r="G149" s="15" t="str">
        <f>IF($A149="","",Restaurang!M29)</f>
        <v/>
      </c>
      <c r="H149" s="16" t="str">
        <f>IF($A149="","",Restaurang!N29)</f>
        <v/>
      </c>
      <c r="I149" s="3" t="str">
        <f>IF($A149="","",Restaurang!I29)</f>
        <v/>
      </c>
      <c r="J149" s="3" t="str">
        <f>IF($A149="","",IFERROR(Restaurang!O29,""))</f>
        <v/>
      </c>
    </row>
    <row r="150" spans="1:10">
      <c r="A150" s="3" t="str">
        <f>IF(Restaurang!A30="Ja","Restaurang","")</f>
        <v/>
      </c>
      <c r="B150" s="3" t="str">
        <f>IF($A150="","",Restaurang!B30)</f>
        <v/>
      </c>
      <c r="C150" s="3" t="str">
        <f>IF($A150="","",Restaurang!C30)</f>
        <v/>
      </c>
      <c r="D150" s="3" t="str">
        <f>IF($A150="","",Restaurang!D30)</f>
        <v/>
      </c>
      <c r="E150" s="3" t="str">
        <f>IF($A150="","",Restaurang!E30)</f>
        <v/>
      </c>
      <c r="F150" s="3" t="str">
        <f>IF($A150="","",Restaurang!F30)</f>
        <v/>
      </c>
      <c r="G150" s="15" t="str">
        <f>IF($A150="","",Restaurang!M30)</f>
        <v/>
      </c>
      <c r="H150" s="16" t="str">
        <f>IF($A150="","",Restaurang!N30)</f>
        <v/>
      </c>
      <c r="I150" s="3" t="str">
        <f>IF($A150="","",Restaurang!I30)</f>
        <v/>
      </c>
      <c r="J150" s="3" t="str">
        <f>IF($A150="","",IFERROR(Restaurang!O30,""))</f>
        <v/>
      </c>
    </row>
    <row r="151" spans="1:10">
      <c r="A151" s="3" t="str">
        <f>IF(Restaurang!A31="Ja","Restaurang","")</f>
        <v/>
      </c>
      <c r="B151" s="3" t="str">
        <f>IF($A151="","",Restaurang!B31)</f>
        <v/>
      </c>
      <c r="C151" s="3" t="str">
        <f>IF($A151="","",Restaurang!C31)</f>
        <v/>
      </c>
      <c r="D151" s="3" t="str">
        <f>IF($A151="","",Restaurang!D31)</f>
        <v/>
      </c>
      <c r="E151" s="3" t="str">
        <f>IF($A151="","",Restaurang!E31)</f>
        <v/>
      </c>
      <c r="F151" s="3" t="str">
        <f>IF($A151="","",Restaurang!F31)</f>
        <v/>
      </c>
      <c r="G151" s="15" t="str">
        <f>IF($A151="","",Restaurang!M31)</f>
        <v/>
      </c>
      <c r="H151" s="16" t="str">
        <f>IF($A151="","",Restaurang!N31)</f>
        <v/>
      </c>
      <c r="I151" s="3" t="str">
        <f>IF($A151="","",Restaurang!I31)</f>
        <v/>
      </c>
      <c r="J151" s="3" t="str">
        <f>IF($A151="","",IFERROR(Restaurang!O31,""))</f>
        <v/>
      </c>
    </row>
    <row r="152" spans="1:10">
      <c r="A152" s="3" t="str">
        <f>IF(Restaurang!A32="Ja","Restaurang","")</f>
        <v/>
      </c>
      <c r="B152" s="3" t="str">
        <f>IF($A152="","",Restaurang!B32)</f>
        <v/>
      </c>
      <c r="C152" s="3" t="str">
        <f>IF($A152="","",Restaurang!C32)</f>
        <v/>
      </c>
      <c r="D152" s="3" t="str">
        <f>IF($A152="","",Restaurang!D32)</f>
        <v/>
      </c>
      <c r="E152" s="3" t="str">
        <f>IF($A152="","",Restaurang!E32)</f>
        <v/>
      </c>
      <c r="F152" s="3" t="str">
        <f>IF($A152="","",Restaurang!F32)</f>
        <v/>
      </c>
      <c r="G152" s="15" t="str">
        <f>IF($A152="","",Restaurang!M32)</f>
        <v/>
      </c>
      <c r="H152" s="16" t="str">
        <f>IF($A152="","",Restaurang!N32)</f>
        <v/>
      </c>
      <c r="I152" s="3" t="str">
        <f>IF($A152="","",Restaurang!I32)</f>
        <v/>
      </c>
      <c r="J152" s="3" t="str">
        <f>IF($A152="","",IFERROR(Restaurang!O32,""))</f>
        <v/>
      </c>
    </row>
    <row r="153" spans="1:10">
      <c r="A153" s="3" t="str">
        <f>IF(Restaurang!A33="Ja","Restaurang","")</f>
        <v/>
      </c>
      <c r="B153" s="3" t="str">
        <f>IF($A153="","",Restaurang!B33)</f>
        <v/>
      </c>
      <c r="C153" s="3" t="str">
        <f>IF($A153="","",Restaurang!C33)</f>
        <v/>
      </c>
      <c r="D153" s="3" t="str">
        <f>IF($A153="","",Restaurang!D33)</f>
        <v/>
      </c>
      <c r="E153" s="3" t="str">
        <f>IF($A153="","",Restaurang!E33)</f>
        <v/>
      </c>
      <c r="F153" s="3" t="str">
        <f>IF($A153="","",Restaurang!F33)</f>
        <v/>
      </c>
      <c r="G153" s="15" t="str">
        <f>IF($A153="","",Restaurang!M33)</f>
        <v/>
      </c>
      <c r="H153" s="16" t="str">
        <f>IF($A153="","",Restaurang!N33)</f>
        <v/>
      </c>
      <c r="I153" s="3" t="str">
        <f>IF($A153="","",Restaurang!I33)</f>
        <v/>
      </c>
      <c r="J153" s="3" t="str">
        <f>IF($A153="","",IFERROR(Restaurang!O33,""))</f>
        <v/>
      </c>
    </row>
    <row r="154" spans="1:10">
      <c r="A154" s="3" t="str">
        <f>IF(Restaurang!A34="Ja","Restaurang","")</f>
        <v/>
      </c>
      <c r="B154" s="3" t="str">
        <f>IF($A154="","",Restaurang!B34)</f>
        <v/>
      </c>
      <c r="C154" s="3" t="str">
        <f>IF($A154="","",Restaurang!C34)</f>
        <v/>
      </c>
      <c r="D154" s="3" t="str">
        <f>IF($A154="","",Restaurang!D34)</f>
        <v/>
      </c>
      <c r="E154" s="3" t="str">
        <f>IF($A154="","",Restaurang!E34)</f>
        <v/>
      </c>
      <c r="F154" s="3" t="str">
        <f>IF($A154="","",Restaurang!F34)</f>
        <v/>
      </c>
      <c r="G154" s="15" t="str">
        <f>IF($A154="","",Restaurang!M34)</f>
        <v/>
      </c>
      <c r="H154" s="16" t="str">
        <f>IF($A154="","",Restaurang!N34)</f>
        <v/>
      </c>
      <c r="I154" s="3" t="str">
        <f>IF($A154="","",Restaurang!I34)</f>
        <v/>
      </c>
      <c r="J154" s="3" t="str">
        <f>IF($A154="","",IFERROR(Restaurang!O34,""))</f>
        <v/>
      </c>
    </row>
    <row r="155" spans="1:10">
      <c r="A155" s="3" t="str">
        <f>IF(Restaurang!A35="Ja","Restaurang","")</f>
        <v/>
      </c>
      <c r="B155" s="3" t="str">
        <f>IF($A155="","",Restaurang!B35)</f>
        <v/>
      </c>
      <c r="C155" s="3" t="str">
        <f>IF($A155="","",Restaurang!C35)</f>
        <v/>
      </c>
      <c r="D155" s="3" t="str">
        <f>IF($A155="","",Restaurang!D35)</f>
        <v/>
      </c>
      <c r="E155" s="3" t="str">
        <f>IF($A155="","",Restaurang!E35)</f>
        <v/>
      </c>
      <c r="F155" s="3" t="str">
        <f>IF($A155="","",Restaurang!F35)</f>
        <v/>
      </c>
      <c r="G155" s="15" t="str">
        <f>IF($A155="","",Restaurang!M35)</f>
        <v/>
      </c>
      <c r="H155" s="16" t="str">
        <f>IF($A155="","",Restaurang!N35)</f>
        <v/>
      </c>
      <c r="I155" s="3" t="str">
        <f>IF($A155="","",Restaurang!I35)</f>
        <v/>
      </c>
      <c r="J155" s="3" t="str">
        <f>IF($A155="","",IFERROR(Restaurang!O35,""))</f>
        <v/>
      </c>
    </row>
    <row r="156" spans="1:10">
      <c r="A156" s="3" t="str">
        <f>IF(Restaurang!A36="Ja","Restaurang","")</f>
        <v/>
      </c>
      <c r="B156" s="3" t="str">
        <f>IF($A156="","",Restaurang!B36)</f>
        <v/>
      </c>
      <c r="C156" s="3" t="str">
        <f>IF($A156="","",Restaurang!C36)</f>
        <v/>
      </c>
      <c r="D156" s="3" t="str">
        <f>IF($A156="","",Restaurang!D36)</f>
        <v/>
      </c>
      <c r="E156" s="3" t="str">
        <f>IF($A156="","",Restaurang!E36)</f>
        <v/>
      </c>
      <c r="F156" s="3" t="str">
        <f>IF($A156="","",Restaurang!F36)</f>
        <v/>
      </c>
      <c r="G156" s="15" t="str">
        <f>IF($A156="","",Restaurang!M36)</f>
        <v/>
      </c>
      <c r="H156" s="16" t="str">
        <f>IF($A156="","",Restaurang!N36)</f>
        <v/>
      </c>
      <c r="I156" s="3" t="str">
        <f>IF($A156="","",Restaurang!I36)</f>
        <v/>
      </c>
      <c r="J156" s="3" t="str">
        <f>IF($A156="","",IFERROR(Restaurang!O36,""))</f>
        <v/>
      </c>
    </row>
    <row r="157" spans="1:10">
      <c r="A157" s="3" t="str">
        <f>IF(Restaurang!A37="Ja","Restaurang","")</f>
        <v/>
      </c>
      <c r="B157" s="3" t="str">
        <f>IF($A157="","",Restaurang!B37)</f>
        <v/>
      </c>
      <c r="C157" s="3" t="str">
        <f>IF($A157="","",Restaurang!C37)</f>
        <v/>
      </c>
      <c r="D157" s="3" t="str">
        <f>IF($A157="","",Restaurang!D37)</f>
        <v/>
      </c>
      <c r="E157" s="3" t="str">
        <f>IF($A157="","",Restaurang!E37)</f>
        <v/>
      </c>
      <c r="F157" s="3" t="str">
        <f>IF($A157="","",Restaurang!F37)</f>
        <v/>
      </c>
      <c r="G157" s="15" t="str">
        <f>IF($A157="","",Restaurang!M37)</f>
        <v/>
      </c>
      <c r="H157" s="16" t="str">
        <f>IF($A157="","",Restaurang!N37)</f>
        <v/>
      </c>
      <c r="I157" s="3" t="str">
        <f>IF($A157="","",Restaurang!I37)</f>
        <v/>
      </c>
      <c r="J157" s="3" t="str">
        <f>IF($A157="","",IFERROR(Restaurang!O37,""))</f>
        <v/>
      </c>
    </row>
    <row r="158" spans="1:10">
      <c r="A158" s="3" t="str">
        <f>IF(Restaurang!A38="Ja","Restaurang","")</f>
        <v/>
      </c>
      <c r="B158" s="3" t="str">
        <f>IF($A158="","",Restaurang!B38)</f>
        <v/>
      </c>
      <c r="C158" s="3" t="str">
        <f>IF($A158="","",Restaurang!C38)</f>
        <v/>
      </c>
      <c r="D158" s="3" t="str">
        <f>IF($A158="","",Restaurang!D38)</f>
        <v/>
      </c>
      <c r="E158" s="3" t="str">
        <f>IF($A158="","",Restaurang!E38)</f>
        <v/>
      </c>
      <c r="F158" s="3" t="str">
        <f>IF($A158="","",Restaurang!F38)</f>
        <v/>
      </c>
      <c r="G158" s="15" t="str">
        <f>IF($A158="","",Restaurang!M38)</f>
        <v/>
      </c>
      <c r="H158" s="16" t="str">
        <f>IF($A158="","",Restaurang!N38)</f>
        <v/>
      </c>
      <c r="I158" s="3" t="str">
        <f>IF($A158="","",Restaurang!I38)</f>
        <v/>
      </c>
      <c r="J158" s="3" t="str">
        <f>IF($A158="","",IFERROR(Restaurang!O38,""))</f>
        <v/>
      </c>
    </row>
    <row r="159" spans="1:10">
      <c r="A159" s="3" t="str">
        <f>IF(Restaurang!A39="Ja","Restaurang","")</f>
        <v/>
      </c>
      <c r="B159" s="3" t="str">
        <f>IF($A159="","",Restaurang!B39)</f>
        <v/>
      </c>
      <c r="C159" s="3" t="str">
        <f>IF($A159="","",Restaurang!C39)</f>
        <v/>
      </c>
      <c r="D159" s="3" t="str">
        <f>IF($A159="","",Restaurang!D39)</f>
        <v/>
      </c>
      <c r="E159" s="3" t="str">
        <f>IF($A159="","",Restaurang!E39)</f>
        <v/>
      </c>
      <c r="F159" s="3" t="str">
        <f>IF($A159="","",Restaurang!F39)</f>
        <v/>
      </c>
      <c r="G159" s="15" t="str">
        <f>IF($A159="","",Restaurang!M39)</f>
        <v/>
      </c>
      <c r="H159" s="16" t="str">
        <f>IF($A159="","",Restaurang!N39)</f>
        <v/>
      </c>
      <c r="I159" s="3" t="str">
        <f>IF($A159="","",Restaurang!I39)</f>
        <v/>
      </c>
      <c r="J159" s="3" t="str">
        <f>IF($A159="","",IFERROR(Restaurang!O39,""))</f>
        <v/>
      </c>
    </row>
    <row r="160" spans="1:10">
      <c r="A160" s="3" t="str">
        <f>IF(Restaurang!A40="Ja","Restaurang","")</f>
        <v/>
      </c>
      <c r="B160" s="3" t="str">
        <f>IF($A160="","",Restaurang!B40)</f>
        <v/>
      </c>
      <c r="C160" s="3" t="str">
        <f>IF($A160="","",Restaurang!C40)</f>
        <v/>
      </c>
      <c r="D160" s="3" t="str">
        <f>IF($A160="","",Restaurang!D40)</f>
        <v/>
      </c>
      <c r="E160" s="3" t="str">
        <f>IF($A160="","",Restaurang!E40)</f>
        <v/>
      </c>
      <c r="F160" s="3" t="str">
        <f>IF($A160="","",Restaurang!F40)</f>
        <v/>
      </c>
      <c r="G160" s="15" t="str">
        <f>IF($A160="","",Restaurang!M40)</f>
        <v/>
      </c>
      <c r="H160" s="16" t="str">
        <f>IF($A160="","",Restaurang!N40)</f>
        <v/>
      </c>
      <c r="I160" s="3" t="str">
        <f>IF($A160="","",Restaurang!I40)</f>
        <v/>
      </c>
      <c r="J160" s="3" t="str">
        <f>IF($A160="","",IFERROR(Restaurang!O40,""))</f>
        <v/>
      </c>
    </row>
    <row r="161" spans="1:10">
      <c r="A161" s="3" t="str">
        <f>IF(Restaurang!A41="Ja","Restaurang","")</f>
        <v/>
      </c>
      <c r="B161" s="3" t="str">
        <f>IF($A161="","",Restaurang!B41)</f>
        <v/>
      </c>
      <c r="C161" s="3" t="str">
        <f>IF($A161="","",Restaurang!C41)</f>
        <v/>
      </c>
      <c r="D161" s="3" t="str">
        <f>IF($A161="","",Restaurang!D41)</f>
        <v/>
      </c>
      <c r="E161" s="3" t="str">
        <f>IF($A161="","",Restaurang!E41)</f>
        <v/>
      </c>
      <c r="F161" s="3" t="str">
        <f>IF($A161="","",Restaurang!F41)</f>
        <v/>
      </c>
      <c r="G161" s="15" t="str">
        <f>IF($A161="","",Restaurang!M41)</f>
        <v/>
      </c>
      <c r="H161" s="16" t="str">
        <f>IF($A161="","",Restaurang!N41)</f>
        <v/>
      </c>
      <c r="I161" s="3" t="str">
        <f>IF($A161="","",Restaurang!I41)</f>
        <v/>
      </c>
      <c r="J161" s="3" t="str">
        <f>IF($A161="","",IFERROR(Restaurang!O41,""))</f>
        <v/>
      </c>
    </row>
    <row r="162" spans="1:10">
      <c r="A162" s="3" t="str">
        <f>IF(Restaurang!A42="Ja","Restaurang","")</f>
        <v/>
      </c>
      <c r="B162" s="3" t="str">
        <f>IF($A162="","",Restaurang!B42)</f>
        <v/>
      </c>
      <c r="C162" s="3" t="str">
        <f>IF($A162="","",Restaurang!C42)</f>
        <v/>
      </c>
      <c r="D162" s="3" t="str">
        <f>IF($A162="","",Restaurang!D42)</f>
        <v/>
      </c>
      <c r="E162" s="3" t="str">
        <f>IF($A162="","",Restaurang!E42)</f>
        <v/>
      </c>
      <c r="F162" s="3" t="str">
        <f>IF($A162="","",Restaurang!F42)</f>
        <v/>
      </c>
      <c r="G162" s="15" t="str">
        <f>IF($A162="","",Restaurang!M42)</f>
        <v/>
      </c>
      <c r="H162" s="16" t="str">
        <f>IF($A162="","",Restaurang!N42)</f>
        <v/>
      </c>
      <c r="I162" s="3" t="str">
        <f>IF($A162="","",Restaurang!I42)</f>
        <v/>
      </c>
      <c r="J162" s="3" t="str">
        <f>IF($A162="","",IFERROR(Restaurang!O42,""))</f>
        <v/>
      </c>
    </row>
    <row r="163" spans="1:10">
      <c r="A163" s="3" t="str">
        <f>IF(Restaurang!A43="Ja","Restaurang","")</f>
        <v/>
      </c>
      <c r="B163" s="3" t="str">
        <f>IF($A163="","",Restaurang!B43)</f>
        <v/>
      </c>
      <c r="C163" s="3" t="str">
        <f>IF($A163="","",Restaurang!C43)</f>
        <v/>
      </c>
      <c r="D163" s="3" t="str">
        <f>IF($A163="","",Restaurang!D43)</f>
        <v/>
      </c>
      <c r="E163" s="3" t="str">
        <f>IF($A163="","",Restaurang!E43)</f>
        <v/>
      </c>
      <c r="F163" s="3" t="str">
        <f>IF($A163="","",Restaurang!F43)</f>
        <v/>
      </c>
      <c r="G163" s="15" t="str">
        <f>IF($A163="","",Restaurang!M43)</f>
        <v/>
      </c>
      <c r="H163" s="16" t="str">
        <f>IF($A163="","",Restaurang!N43)</f>
        <v/>
      </c>
      <c r="I163" s="3" t="str">
        <f>IF($A163="","",Restaurang!I43)</f>
        <v/>
      </c>
      <c r="J163" s="3" t="str">
        <f>IF($A163="","",IFERROR(Restaurang!O43,""))</f>
        <v/>
      </c>
    </row>
    <row r="164" spans="1:10">
      <c r="A164" s="3" t="str">
        <f>IF(Restaurang!A44="Ja","Restaurang","")</f>
        <v/>
      </c>
      <c r="B164" s="3" t="str">
        <f>IF($A164="","",Restaurang!B44)</f>
        <v/>
      </c>
      <c r="C164" s="3" t="str">
        <f>IF($A164="","",Restaurang!C44)</f>
        <v/>
      </c>
      <c r="D164" s="3" t="str">
        <f>IF($A164="","",Restaurang!D44)</f>
        <v/>
      </c>
      <c r="E164" s="3" t="str">
        <f>IF($A164="","",Restaurang!E44)</f>
        <v/>
      </c>
      <c r="F164" s="3" t="str">
        <f>IF($A164="","",Restaurang!F44)</f>
        <v/>
      </c>
      <c r="G164" s="15" t="str">
        <f>IF($A164="","",Restaurang!M44)</f>
        <v/>
      </c>
      <c r="H164" s="16" t="str">
        <f>IF($A164="","",Restaurang!N44)</f>
        <v/>
      </c>
      <c r="I164" s="3" t="str">
        <f>IF($A164="","",Restaurang!I44)</f>
        <v/>
      </c>
      <c r="J164" s="3" t="str">
        <f>IF($A164="","",IFERROR(Restaurang!O44,""))</f>
        <v/>
      </c>
    </row>
    <row r="165" spans="1:10">
      <c r="A165" s="3" t="str">
        <f>IF(Restaurang!A45="Ja","Restaurang","")</f>
        <v/>
      </c>
      <c r="B165" s="3" t="str">
        <f>IF($A165="","",Restaurang!B45)</f>
        <v/>
      </c>
      <c r="C165" s="3" t="str">
        <f>IF($A165="","",Restaurang!C45)</f>
        <v/>
      </c>
      <c r="D165" s="3" t="str">
        <f>IF($A165="","",Restaurang!D45)</f>
        <v/>
      </c>
      <c r="E165" s="3" t="str">
        <f>IF($A165="","",Restaurang!E45)</f>
        <v/>
      </c>
      <c r="F165" s="3" t="str">
        <f>IF($A165="","",Restaurang!F45)</f>
        <v/>
      </c>
      <c r="G165" s="15" t="str">
        <f>IF($A165="","",Restaurang!M45)</f>
        <v/>
      </c>
      <c r="H165" s="16" t="str">
        <f>IF($A165="","",Restaurang!N45)</f>
        <v/>
      </c>
      <c r="I165" s="3" t="str">
        <f>IF($A165="","",Restaurang!I45)</f>
        <v/>
      </c>
      <c r="J165" s="3" t="str">
        <f>IF($A165="","",IFERROR(Restaurang!O45,""))</f>
        <v/>
      </c>
    </row>
    <row r="166" spans="1:10">
      <c r="A166" s="3" t="str">
        <f>IF(Restaurang!A46="Ja","Restaurang","")</f>
        <v/>
      </c>
      <c r="B166" s="3" t="str">
        <f>IF($A166="","",Restaurang!B46)</f>
        <v/>
      </c>
      <c r="C166" s="3" t="str">
        <f>IF($A166="","",Restaurang!C46)</f>
        <v/>
      </c>
      <c r="D166" s="3" t="str">
        <f>IF($A166="","",Restaurang!D46)</f>
        <v/>
      </c>
      <c r="E166" s="3" t="str">
        <f>IF($A166="","",Restaurang!E46)</f>
        <v/>
      </c>
      <c r="F166" s="3" t="str">
        <f>IF($A166="","",Restaurang!F46)</f>
        <v/>
      </c>
      <c r="G166" s="15" t="str">
        <f>IF($A166="","",Restaurang!M46)</f>
        <v/>
      </c>
      <c r="H166" s="16" t="str">
        <f>IF($A166="","",Restaurang!N46)</f>
        <v/>
      </c>
      <c r="I166" s="3" t="str">
        <f>IF($A166="","",Restaurang!I46)</f>
        <v/>
      </c>
      <c r="J166" s="3" t="str">
        <f>IF($A166="","",IFERROR(Restaurang!O46,""))</f>
        <v/>
      </c>
    </row>
    <row r="167" spans="1:10">
      <c r="A167" s="3" t="str">
        <f>IF(Gym!A7="Ja","Gym","")</f>
        <v>Gym</v>
      </c>
      <c r="B167" s="3" t="str">
        <f>IF($A167="","",Gym!B7)</f>
        <v>facilityType</v>
      </c>
      <c r="C167" s="3" t="str">
        <f>IF($A167="","",Gym!C7)</f>
        <v>small</v>
      </c>
      <c r="D167" s="3" t="str">
        <f>IF($A167="","",Gym!D7)</f>
        <v>facilityType:small</v>
      </c>
      <c r="E167" s="3" t="str">
        <f>IF($A167="","",Gym!E7)</f>
        <v>Gymtyp och grundlogik</v>
      </c>
      <c r="F167" s="3" t="str">
        <f>IF($A167="","",Gym!F7)</f>
        <v>Fast</v>
      </c>
      <c r="G167" s="15">
        <f>IF($A167="","",Gym!M7)</f>
        <v>0</v>
      </c>
      <c r="H167" s="16">
        <f>IF($A167="","",Gym!N7)</f>
        <v>0</v>
      </c>
      <c r="I167" s="3" t="str">
        <f>IF($A167="","",Gym!I7)</f>
        <v>Nej</v>
      </c>
      <c r="J167" s="3" t="str">
        <f>IF($A167="","",IFERROR(Gym!O7,""))</f>
        <v>Mindre gym. TESTSTARTVÄRDE.</v>
      </c>
    </row>
    <row r="168" spans="1:10">
      <c r="A168" s="3" t="str">
        <f>IF(Gym!A8="Ja","Gym","")</f>
        <v>Gym</v>
      </c>
      <c r="B168" s="3" t="str">
        <f>IF($A168="","",Gym!B8)</f>
        <v>facilityType</v>
      </c>
      <c r="C168" s="3" t="str">
        <f>IF($A168="","",Gym!C8)</f>
        <v>medium</v>
      </c>
      <c r="D168" s="3" t="str">
        <f>IF($A168="","",Gym!D8)</f>
        <v>facilityType:medium</v>
      </c>
      <c r="E168" s="3" t="str">
        <f>IF($A168="","",Gym!E8)</f>
        <v>Gymtyp och grundlogik</v>
      </c>
      <c r="F168" s="3" t="str">
        <f>IF($A168="","",Gym!F8)</f>
        <v>Fast</v>
      </c>
      <c r="G168" s="15">
        <f>IF($A168="","",Gym!M8)</f>
        <v>12000</v>
      </c>
      <c r="H168" s="16">
        <f>IF($A168="","",Gym!N8)</f>
        <v>2</v>
      </c>
      <c r="I168" s="3" t="str">
        <f>IF($A168="","",Gym!I8)</f>
        <v>Nej</v>
      </c>
      <c r="J168" s="3" t="str">
        <f>IF($A168="","",IFERROR(Gym!O8,""))</f>
        <v>Mellanstort gym. TESTSTARTVÄRDE.</v>
      </c>
    </row>
    <row r="169" spans="1:10">
      <c r="A169" s="3" t="str">
        <f>IF(Gym!A9="Ja","Gym","")</f>
        <v>Gym</v>
      </c>
      <c r="B169" s="3" t="str">
        <f>IF($A169="","",Gym!B9)</f>
        <v>facilityType</v>
      </c>
      <c r="C169" s="3" t="str">
        <f>IF($A169="","",Gym!C9)</f>
        <v>large</v>
      </c>
      <c r="D169" s="3" t="str">
        <f>IF($A169="","",Gym!D9)</f>
        <v>facilityType:large</v>
      </c>
      <c r="E169" s="3" t="str">
        <f>IF($A169="","",Gym!E9)</f>
        <v>Gymtyp och grundlogik</v>
      </c>
      <c r="F169" s="3" t="str">
        <f>IF($A169="","",Gym!F9)</f>
        <v>Fast</v>
      </c>
      <c r="G169" s="15">
        <f>IF($A169="","",Gym!M9)</f>
        <v>25000</v>
      </c>
      <c r="H169" s="16">
        <f>IF($A169="","",Gym!N9)</f>
        <v>4</v>
      </c>
      <c r="I169" s="3" t="str">
        <f>IF($A169="","",Gym!I9)</f>
        <v>Nej</v>
      </c>
      <c r="J169" s="3" t="str">
        <f>IF($A169="","",IFERROR(Gym!O9,""))</f>
        <v>Större gym/flera träningsytor. TESTSTARTVÄRDE.</v>
      </c>
    </row>
    <row r="170" spans="1:10">
      <c r="A170" s="3" t="str">
        <f>IF(Gym!A10="Ja","Gym","")</f>
        <v>Gym</v>
      </c>
      <c r="B170" s="3" t="str">
        <f>IF($A170="","",Gym!B10)</f>
        <v>basePackage</v>
      </c>
      <c r="C170" s="3" t="str">
        <f>IF($A170="","",Gym!C10)</f>
        <v>gym</v>
      </c>
      <c r="D170" s="3" t="str">
        <f>IF($A170="","",Gym!D10)</f>
        <v>basePackage:gym</v>
      </c>
      <c r="E170" s="3" t="str">
        <f>IF($A170="","",Gym!E10)</f>
        <v>Zonstyrt gym-ljud</v>
      </c>
      <c r="F170" s="3" t="str">
        <f>IF($A170="","",Gym!F10)</f>
        <v>Fast</v>
      </c>
      <c r="G170" s="15">
        <f>IF($A170="","",Gym!M10)</f>
        <v>85000</v>
      </c>
      <c r="H170" s="16">
        <f>IF($A170="","",Gym!N10)</f>
        <v>16</v>
      </c>
      <c r="I170" s="3" t="str">
        <f>IF($A170="","",Gym!I10)</f>
        <v>Nej</v>
      </c>
      <c r="J170" s="3" t="str">
        <f>IF($A170="","",IFERROR(Gym!O10,""))</f>
        <v>Grundpaket gym. TESTSTARTVÄRDE.</v>
      </c>
    </row>
    <row r="171" spans="1:10">
      <c r="A171" s="3" t="str">
        <f>IF(Gym!A11="Ja","Gym","")</f>
        <v>Gym</v>
      </c>
      <c r="B171" s="3" t="str">
        <f>IF($A171="","",Gym!B11)</f>
        <v>basePackage</v>
      </c>
      <c r="C171" s="3" t="str">
        <f>IF($A171="","",Gym!C11)</f>
        <v>multizone</v>
      </c>
      <c r="D171" s="3" t="str">
        <f>IF($A171="","",Gym!D11)</f>
        <v>basePackage:multizone</v>
      </c>
      <c r="E171" s="3" t="str">
        <f>IF($A171="","",Gym!E11)</f>
        <v>Zonstyrt gym-ljud</v>
      </c>
      <c r="F171" s="3" t="str">
        <f>IF($A171="","",Gym!F11)</f>
        <v>Fast</v>
      </c>
      <c r="G171" s="15">
        <f>IF($A171="","",Gym!M11)</f>
        <v>125000</v>
      </c>
      <c r="H171" s="16">
        <f>IF($A171="","",Gym!N11)</f>
        <v>22</v>
      </c>
      <c r="I171" s="3" t="str">
        <f>IF($A171="","",Gym!I11)</f>
        <v>Nej</v>
      </c>
      <c r="J171" s="3" t="str">
        <f>IF($A171="","",IFERROR(Gym!O11,""))</f>
        <v>Flera träningsytor och zoner. TESTSTARTVÄRDE.</v>
      </c>
    </row>
    <row r="172" spans="1:10">
      <c r="A172" s="3" t="str">
        <f>IF(Gym!A12="Ja","Gym","")</f>
        <v>Gym</v>
      </c>
      <c r="B172" s="3" t="str">
        <f>IF($A172="","",Gym!B12)</f>
        <v>groupTraining</v>
      </c>
      <c r="C172" s="3" t="str">
        <f>IF($A172="","",Gym!C12)</f>
        <v>standard</v>
      </c>
      <c r="D172" s="3" t="str">
        <f>IF($A172="","",Gym!D12)</f>
        <v>groupTraining:standard</v>
      </c>
      <c r="E172" s="3" t="str">
        <f>IF($A172="","",Gym!E12)</f>
        <v>Gruppträningssal</v>
      </c>
      <c r="F172" s="3" t="str">
        <f>IF($A172="","",Gym!F12)</f>
        <v>Fast</v>
      </c>
      <c r="G172" s="15">
        <f>IF($A172="","",Gym!M12)</f>
        <v>45000</v>
      </c>
      <c r="H172" s="16">
        <f>IF($A172="","",Gym!N12)</f>
        <v>8</v>
      </c>
      <c r="I172" s="3" t="str">
        <f>IF($A172="","",Gym!I12)</f>
        <v>Nej</v>
      </c>
      <c r="J172" s="3" t="str">
        <f>IF($A172="","",IFERROR(Gym!O12,""))</f>
        <v>Ljud och instruktörsanslutning. TESTSTARTVÄRDE.</v>
      </c>
    </row>
    <row r="173" spans="1:10">
      <c r="A173" s="3" t="str">
        <f>IF(Gym!A13="Ja","Gym","")</f>
        <v>Gym</v>
      </c>
      <c r="B173" s="3" t="str">
        <f>IF($A173="","",Gym!B13)</f>
        <v>groupTraining</v>
      </c>
      <c r="C173" s="3" t="str">
        <f>IF($A173="","",Gym!C13)</f>
        <v>premium</v>
      </c>
      <c r="D173" s="3" t="str">
        <f>IF($A173="","",Gym!D13)</f>
        <v>groupTraining:premium</v>
      </c>
      <c r="E173" s="3" t="str">
        <f>IF($A173="","",Gym!E13)</f>
        <v>Gruppträningssal</v>
      </c>
      <c r="F173" s="3" t="str">
        <f>IF($A173="","",Gym!F13)</f>
        <v>Fast</v>
      </c>
      <c r="G173" s="15">
        <f>IF($A173="","",Gym!M13)</f>
        <v>75000</v>
      </c>
      <c r="H173" s="16">
        <f>IF($A173="","",Gym!N13)</f>
        <v>12</v>
      </c>
      <c r="I173" s="3" t="str">
        <f>IF($A173="","",Gym!I13)</f>
        <v>Nej</v>
      </c>
      <c r="J173" s="3" t="str">
        <f>IF($A173="","",IFERROR(Gym!O13,""))</f>
        <v>Utökad gruppträningslösning. TESTSTARTVÄRDE.</v>
      </c>
    </row>
    <row r="174" spans="1:10">
      <c r="A174" s="3" t="str">
        <f>IF(Gym!A14="Ja","Gym","")</f>
        <v>Gym</v>
      </c>
      <c r="B174" s="3" t="str">
        <f>IF($A174="","",Gym!B14)</f>
        <v>control</v>
      </c>
      <c r="C174" s="3" t="str">
        <f>IF($A174="","",Gym!C14)</f>
        <v>knob</v>
      </c>
      <c r="D174" s="3" t="str">
        <f>IF($A174="","",Gym!D14)</f>
        <v>control:knob</v>
      </c>
      <c r="E174" s="3" t="str">
        <f>IF($A174="","",Gym!E14)</f>
        <v>Styrning</v>
      </c>
      <c r="F174" s="3" t="str">
        <f>IF($A174="","",Gym!F14)</f>
        <v>Fast</v>
      </c>
      <c r="G174" s="15">
        <f>IF($A174="","",Gym!M14)</f>
        <v>6500</v>
      </c>
      <c r="H174" s="16">
        <f>IF($A174="","",Gym!N14)</f>
        <v>2</v>
      </c>
      <c r="I174" s="3" t="str">
        <f>IF($A174="","",Gym!I14)</f>
        <v>Nej</v>
      </c>
      <c r="J174" s="3" t="str">
        <f>IF($A174="","",IFERROR(Gym!O14,""))</f>
        <v>Enkel zonstyrning. TESTSTARTVÄRDE.</v>
      </c>
    </row>
    <row r="175" spans="1:10">
      <c r="A175" s="3" t="str">
        <f>IF(Gym!A15="Ja","Gym","")</f>
        <v>Gym</v>
      </c>
      <c r="B175" s="3" t="str">
        <f>IF($A175="","",Gym!B15)</f>
        <v>control</v>
      </c>
      <c r="C175" s="3" t="str">
        <f>IF($A175="","",Gym!C15)</f>
        <v>touch</v>
      </c>
      <c r="D175" s="3" t="str">
        <f>IF($A175="","",Gym!D15)</f>
        <v>control:touch</v>
      </c>
      <c r="E175" s="3" t="str">
        <f>IF($A175="","",Gym!E15)</f>
        <v>Styrning</v>
      </c>
      <c r="F175" s="3" t="str">
        <f>IF($A175="","",Gym!F15)</f>
        <v>Fast</v>
      </c>
      <c r="G175" s="15">
        <f>IF($A175="","",Gym!M15)</f>
        <v>26000</v>
      </c>
      <c r="H175" s="16">
        <f>IF($A175="","",Gym!N15)</f>
        <v>4</v>
      </c>
      <c r="I175" s="3" t="str">
        <f>IF($A175="","",Gym!I15)</f>
        <v>Nej</v>
      </c>
      <c r="J175" s="3" t="str">
        <f>IF($A175="","",IFERROR(Gym!O15,""))</f>
        <v>Touch-/appstyrning. TESTSTARTVÄRDE.</v>
      </c>
    </row>
    <row r="176" spans="1:10">
      <c r="A176" s="3" t="str">
        <f>IF(Gym!A16="Ja","Gym","")</f>
        <v>Gym</v>
      </c>
      <c r="B176" s="3" t="str">
        <f>IF($A176="","",Gym!B16)</f>
        <v>unit</v>
      </c>
      <c r="C176" s="3" t="str">
        <f>IF($A176="","",Gym!C16)</f>
        <v>headset</v>
      </c>
      <c r="D176" s="3" t="str">
        <f>IF($A176="","",Gym!D16)</f>
        <v>unit:headset</v>
      </c>
      <c r="E176" s="3" t="str">
        <f>IF($A176="","",Gym!E16)</f>
        <v>Trådlösa headset</v>
      </c>
      <c r="F176" s="3" t="str">
        <f>IF($A176="","",Gym!F16)</f>
        <v>Enhet</v>
      </c>
      <c r="G176" s="15">
        <f>IF($A176="","",Gym!M16)</f>
        <v>9200</v>
      </c>
      <c r="H176" s="16">
        <f>IF($A176="","",Gym!N16)</f>
        <v>0.5</v>
      </c>
      <c r="I176" s="3" t="str">
        <f>IF($A176="","",Gym!I16)</f>
        <v>Nej</v>
      </c>
      <c r="J176" s="3" t="str">
        <f>IF($A176="","",IFERROR(Gym!O16,""))</f>
        <v>Per headset. TESTSTARTVÄRDE.</v>
      </c>
    </row>
    <row r="177" spans="1:10">
      <c r="A177" s="3" t="str">
        <f>IF(Gym!A17="Ja","Gym","")</f>
        <v>Gym</v>
      </c>
      <c r="B177" s="3" t="str">
        <f>IF($A177="","",Gym!B17)</f>
        <v>unit</v>
      </c>
      <c r="C177" s="3" t="str">
        <f>IF($A177="","",Gym!C17)</f>
        <v>bluetooth</v>
      </c>
      <c r="D177" s="3" t="str">
        <f>IF($A177="","",Gym!D17)</f>
        <v>unit:bluetooth</v>
      </c>
      <c r="E177" s="3" t="str">
        <f>IF($A177="","",Gym!E17)</f>
        <v>Musikanslutning</v>
      </c>
      <c r="F177" s="3" t="str">
        <f>IF($A177="","",Gym!F17)</f>
        <v>Enhet</v>
      </c>
      <c r="G177" s="15">
        <f>IF($A177="","",Gym!M17)</f>
        <v>4200</v>
      </c>
      <c r="H177" s="16">
        <f>IF($A177="","",Gym!N17)</f>
        <v>0.5</v>
      </c>
      <c r="I177" s="3" t="str">
        <f>IF($A177="","",Gym!I17)</f>
        <v>Nej</v>
      </c>
      <c r="J177" s="3" t="str">
        <f>IF($A177="","",IFERROR(Gym!O17,""))</f>
        <v>Bluetooth-mottagare. TESTSTARTVÄRDE.</v>
      </c>
    </row>
    <row r="178" spans="1:10">
      <c r="A178" s="3" t="str">
        <f>IF(Gym!A18="Ja","Gym","")</f>
        <v>Gym</v>
      </c>
      <c r="B178" s="3" t="str">
        <f>IF($A178="","",Gym!B18)</f>
        <v>unit</v>
      </c>
      <c r="C178" s="3" t="str">
        <f>IF($A178="","",Gym!C18)</f>
        <v>handMic</v>
      </c>
      <c r="D178" s="3" t="str">
        <f>IF($A178="","",Gym!D18)</f>
        <v>unit:handMic</v>
      </c>
      <c r="E178" s="3" t="str">
        <f>IF($A178="","",Gym!E18)</f>
        <v>Mikrofoner</v>
      </c>
      <c r="F178" s="3" t="str">
        <f>IF($A178="","",Gym!F18)</f>
        <v>Enhet</v>
      </c>
      <c r="G178" s="15">
        <f>IF($A178="","",Gym!M18)</f>
        <v>7900</v>
      </c>
      <c r="H178" s="16">
        <f>IF($A178="","",Gym!N18)</f>
        <v>0.5</v>
      </c>
      <c r="I178" s="3" t="str">
        <f>IF($A178="","",Gym!I18)</f>
        <v>Nej</v>
      </c>
      <c r="J178" s="3" t="str">
        <f>IF($A178="","",IFERROR(Gym!O18,""))</f>
        <v>Trådlös handmikrofon. TESTSTARTVÄRDE.</v>
      </c>
    </row>
    <row r="179" spans="1:10">
      <c r="A179" s="3" t="str">
        <f>IF(Gym!A19="Ja","Gym","")</f>
        <v>Gym</v>
      </c>
      <c r="B179" s="3" t="str">
        <f>IF($A179="","",Gym!B19)</f>
        <v>unit</v>
      </c>
      <c r="C179" s="3" t="str">
        <f>IF($A179="","",Gym!C19)</f>
        <v>zoneSmall</v>
      </c>
      <c r="D179" s="3" t="str">
        <f>IF($A179="","",Gym!D19)</f>
        <v>unit:zoneSmall</v>
      </c>
      <c r="E179" s="3" t="str">
        <f>IF($A179="","",Gym!E19)</f>
        <v>Extra ljudzoner</v>
      </c>
      <c r="F179" s="3" t="str">
        <f>IF($A179="","",Gym!F19)</f>
        <v>Enhet</v>
      </c>
      <c r="G179" s="15">
        <f>IF($A179="","",Gym!M19)</f>
        <v>18500</v>
      </c>
      <c r="H179" s="16">
        <f>IF($A179="","",Gym!N19)</f>
        <v>6</v>
      </c>
      <c r="I179" s="3" t="str">
        <f>IF($A179="","",Gym!I19)</f>
        <v>Nej</v>
      </c>
      <c r="J179" s="3" t="str">
        <f>IF($A179="","",IFERROR(Gym!O19,""))</f>
        <v>Zon 20–50 m². TESTSTARTVÄRDE.</v>
      </c>
    </row>
    <row r="180" spans="1:10">
      <c r="A180" s="3" t="str">
        <f>IF(Gym!A20="Ja","Gym","")</f>
        <v>Gym</v>
      </c>
      <c r="B180" s="3" t="str">
        <f>IF($A180="","",Gym!B20)</f>
        <v>unit</v>
      </c>
      <c r="C180" s="3" t="str">
        <f>IF($A180="","",Gym!C20)</f>
        <v>zoneMedium</v>
      </c>
      <c r="D180" s="3" t="str">
        <f>IF($A180="","",Gym!D20)</f>
        <v>unit:zoneMedium</v>
      </c>
      <c r="E180" s="3" t="str">
        <f>IF($A180="","",Gym!E20)</f>
        <v>Extra ljudzoner</v>
      </c>
      <c r="F180" s="3" t="str">
        <f>IF($A180="","",Gym!F20)</f>
        <v>Enhet</v>
      </c>
      <c r="G180" s="15">
        <f>IF($A180="","",Gym!M20)</f>
        <v>29500</v>
      </c>
      <c r="H180" s="16">
        <f>IF($A180="","",Gym!N20)</f>
        <v>8</v>
      </c>
      <c r="I180" s="3" t="str">
        <f>IF($A180="","",Gym!I20)</f>
        <v>Nej</v>
      </c>
      <c r="J180" s="3" t="str">
        <f>IF($A180="","",IFERROR(Gym!O20,""))</f>
        <v>Zon 50–100 m². TESTSTARTVÄRDE.</v>
      </c>
    </row>
    <row r="181" spans="1:10">
      <c r="A181" s="3" t="str">
        <f>IF(Gym!A21="Ja","Gym","")</f>
        <v>Gym</v>
      </c>
      <c r="B181" s="3" t="str">
        <f>IF($A181="","",Gym!B21)</f>
        <v>unit</v>
      </c>
      <c r="C181" s="3" t="str">
        <f>IF($A181="","",Gym!C21)</f>
        <v>zoneLarge</v>
      </c>
      <c r="D181" s="3" t="str">
        <f>IF($A181="","",Gym!D21)</f>
        <v>unit:zoneLarge</v>
      </c>
      <c r="E181" s="3" t="str">
        <f>IF($A181="","",Gym!E21)</f>
        <v>Extra ljudzoner</v>
      </c>
      <c r="F181" s="3" t="str">
        <f>IF($A181="","",Gym!F21)</f>
        <v>Enhet</v>
      </c>
      <c r="G181" s="15">
        <f>IF($A181="","",Gym!M21)</f>
        <v>46000</v>
      </c>
      <c r="H181" s="16">
        <f>IF($A181="","",Gym!N21)</f>
        <v>12</v>
      </c>
      <c r="I181" s="3" t="str">
        <f>IF($A181="","",Gym!I21)</f>
        <v>Nej</v>
      </c>
      <c r="J181" s="3" t="str">
        <f>IF($A181="","",IFERROR(Gym!O21,""))</f>
        <v>Zon 100–200 m². TESTSTARTVÄRDE.</v>
      </c>
    </row>
    <row r="182" spans="1:10">
      <c r="A182" s="3" t="str">
        <f>IF(Gym!A22="Ja","Gym","")</f>
        <v>Gym</v>
      </c>
      <c r="B182" s="3" t="str">
        <f>IF($A182="","",Gym!B22)</f>
        <v>display</v>
      </c>
      <c r="C182" s="3" t="str">
        <f>IF($A182="","",Gym!C22)</f>
        <v>infoScreen</v>
      </c>
      <c r="D182" s="3" t="str">
        <f>IF($A182="","",Gym!D22)</f>
        <v>display:infoScreen</v>
      </c>
      <c r="E182" s="3" t="str">
        <f>IF($A182="","",Gym!E22)</f>
        <v>Informationsskärm</v>
      </c>
      <c r="F182" s="3" t="str">
        <f>IF($A182="","",Gym!F22)</f>
        <v>Fast</v>
      </c>
      <c r="G182" s="15">
        <f>IF($A182="","",Gym!M22)</f>
        <v>28000</v>
      </c>
      <c r="H182" s="16">
        <f>IF($A182="","",Gym!N22)</f>
        <v>4</v>
      </c>
      <c r="I182" s="3" t="str">
        <f>IF($A182="","",Gym!I22)</f>
        <v>Nej</v>
      </c>
      <c r="J182" s="3" t="str">
        <f>IF($A182="","",IFERROR(Gym!O22,""))</f>
        <v>Skärm/information. TESTSTARTVÄRDE.</v>
      </c>
    </row>
    <row r="183" spans="1:10">
      <c r="A183" s="3" t="str">
        <f>IF(Gym!A23="Ja","Gym","")</f>
        <v>Gym</v>
      </c>
      <c r="B183" s="3" t="str">
        <f>IF($A183="","",Gym!B23)</f>
        <v>announcement</v>
      </c>
      <c r="C183" s="3" t="str">
        <f>IF($A183="","",Gym!C23)</f>
        <v>basic</v>
      </c>
      <c r="D183" s="3" t="str">
        <f>IF($A183="","",Gym!D23)</f>
        <v>announcement:basic</v>
      </c>
      <c r="E183" s="3" t="str">
        <f>IF($A183="","",Gym!E23)</f>
        <v>Utrop</v>
      </c>
      <c r="F183" s="3" t="str">
        <f>IF($A183="","",Gym!F23)</f>
        <v>Fast</v>
      </c>
      <c r="G183" s="15">
        <f>IF($A183="","",Gym!M23)</f>
        <v>25000</v>
      </c>
      <c r="H183" s="16">
        <f>IF($A183="","",Gym!N23)</f>
        <v>5</v>
      </c>
      <c r="I183" s="3" t="str">
        <f>IF($A183="","",Gym!I23)</f>
        <v>Nej</v>
      </c>
      <c r="J183" s="3" t="str">
        <f>IF($A183="","",IFERROR(Gym!O23,""))</f>
        <v>Grundläggande utropsfunktion. TESTSTARTVÄRDE.</v>
      </c>
    </row>
    <row r="184" spans="1:10">
      <c r="A184" s="3" t="str">
        <f>IF(Gym!A24="Ja","Gym","")</f>
        <v>Gym</v>
      </c>
      <c r="B184" s="3" t="str">
        <f>IF($A184="","",Gym!B24)</f>
        <v>checks</v>
      </c>
      <c r="C184" s="3" t="str">
        <f>IF($A184="","",Gym!C24)</f>
        <v>documentation</v>
      </c>
      <c r="D184" s="3" t="str">
        <f>IF($A184="","",Gym!D24)</f>
        <v>checks:documentation</v>
      </c>
      <c r="E184" s="3" t="str">
        <f>IF($A184="","",Gym!E24)</f>
        <v>Relationshandling och dokumentation</v>
      </c>
      <c r="F184" s="3" t="str">
        <f>IF($A184="","",Gym!F24)</f>
        <v>Fast</v>
      </c>
      <c r="G184" s="15">
        <f>IF($A184="","",Gym!M24)</f>
        <v>10000</v>
      </c>
      <c r="H184" s="16">
        <f>IF($A184="","",Gym!N24)</f>
        <v>3</v>
      </c>
      <c r="I184" s="3" t="str">
        <f>IF($A184="","",Gym!I24)</f>
        <v>Nej</v>
      </c>
      <c r="J184" s="3" t="str">
        <f>IF($A184="","",IFERROR(Gym!O24,""))</f>
        <v>TESTSTARTVÄRDE.</v>
      </c>
    </row>
    <row r="185" spans="1:10">
      <c r="A185" s="3" t="str">
        <f>IF(Gym!A25="Ja","Gym","")</f>
        <v>Gym</v>
      </c>
      <c r="B185" s="3" t="str">
        <f>IF($A185="","",Gym!B25)</f>
        <v>checks</v>
      </c>
      <c r="C185" s="3" t="str">
        <f>IF($A185="","",Gym!C25)</f>
        <v>warranty5</v>
      </c>
      <c r="D185" s="3" t="str">
        <f>IF($A185="","",Gym!D25)</f>
        <v>checks:warranty5</v>
      </c>
      <c r="E185" s="3" t="str">
        <f>IF($A185="","",Gym!E25)</f>
        <v>Garanti och materialhantering</v>
      </c>
      <c r="F185" s="3" t="str">
        <f>IF($A185="","",Gym!F25)</f>
        <v>Procent</v>
      </c>
      <c r="G185" s="15">
        <f>IF($A185="","",Gym!M25)</f>
        <v>0</v>
      </c>
      <c r="H185" s="16">
        <f>IF($A185="","",Gym!N25)</f>
        <v>0</v>
      </c>
      <c r="I185" s="3" t="str">
        <f>IF($A185="","",Gym!I25)</f>
        <v>Nej</v>
      </c>
      <c r="J185" s="3" t="str">
        <f>IF($A185="","",IFERROR(Gym!O25,""))</f>
        <v>10 % på subtotal som testregel.</v>
      </c>
    </row>
    <row r="186" spans="1:10">
      <c r="A186" s="3" t="str">
        <f>IF(Gym!A26="Ja","Gym","")</f>
        <v/>
      </c>
      <c r="B186" s="3" t="str">
        <f>IF($A186="","",Gym!B26)</f>
        <v/>
      </c>
      <c r="C186" s="3" t="str">
        <f>IF($A186="","",Gym!C26)</f>
        <v/>
      </c>
      <c r="D186" s="3" t="str">
        <f>IF($A186="","",Gym!D26)</f>
        <v/>
      </c>
      <c r="E186" s="3" t="str">
        <f>IF($A186="","",Gym!E26)</f>
        <v/>
      </c>
      <c r="F186" s="3" t="str">
        <f>IF($A186="","",Gym!F26)</f>
        <v/>
      </c>
      <c r="G186" s="15" t="str">
        <f>IF($A186="","",Gym!M26)</f>
        <v/>
      </c>
      <c r="H186" s="16" t="str">
        <f>IF($A186="","",Gym!N26)</f>
        <v/>
      </c>
      <c r="I186" s="3" t="str">
        <f>IF($A186="","",Gym!I26)</f>
        <v/>
      </c>
      <c r="J186" s="3" t="str">
        <f>IF($A186="","",IFERROR(Gym!O26,""))</f>
        <v/>
      </c>
    </row>
    <row r="187" spans="1:10">
      <c r="A187" s="3" t="str">
        <f>IF(Gym!A27="Ja","Gym","")</f>
        <v/>
      </c>
      <c r="B187" s="3" t="str">
        <f>IF($A187="","",Gym!B27)</f>
        <v/>
      </c>
      <c r="C187" s="3" t="str">
        <f>IF($A187="","",Gym!C27)</f>
        <v/>
      </c>
      <c r="D187" s="3" t="str">
        <f>IF($A187="","",Gym!D27)</f>
        <v/>
      </c>
      <c r="E187" s="3" t="str">
        <f>IF($A187="","",Gym!E27)</f>
        <v/>
      </c>
      <c r="F187" s="3" t="str">
        <f>IF($A187="","",Gym!F27)</f>
        <v/>
      </c>
      <c r="G187" s="15" t="str">
        <f>IF($A187="","",Gym!M27)</f>
        <v/>
      </c>
      <c r="H187" s="16" t="str">
        <f>IF($A187="","",Gym!N27)</f>
        <v/>
      </c>
      <c r="I187" s="3" t="str">
        <f>IF($A187="","",Gym!I27)</f>
        <v/>
      </c>
      <c r="J187" s="3" t="str">
        <f>IF($A187="","",IFERROR(Gym!O27,""))</f>
        <v/>
      </c>
    </row>
    <row r="188" spans="1:10">
      <c r="A188" s="3" t="str">
        <f>IF(Gym!A28="Ja","Gym","")</f>
        <v/>
      </c>
      <c r="B188" s="3" t="str">
        <f>IF($A188="","",Gym!B28)</f>
        <v/>
      </c>
      <c r="C188" s="3" t="str">
        <f>IF($A188="","",Gym!C28)</f>
        <v/>
      </c>
      <c r="D188" s="3" t="str">
        <f>IF($A188="","",Gym!D28)</f>
        <v/>
      </c>
      <c r="E188" s="3" t="str">
        <f>IF($A188="","",Gym!E28)</f>
        <v/>
      </c>
      <c r="F188" s="3" t="str">
        <f>IF($A188="","",Gym!F28)</f>
        <v/>
      </c>
      <c r="G188" s="15" t="str">
        <f>IF($A188="","",Gym!M28)</f>
        <v/>
      </c>
      <c r="H188" s="16" t="str">
        <f>IF($A188="","",Gym!N28)</f>
        <v/>
      </c>
      <c r="I188" s="3" t="str">
        <f>IF($A188="","",Gym!I28)</f>
        <v/>
      </c>
      <c r="J188" s="3" t="str">
        <f>IF($A188="","",IFERROR(Gym!O28,""))</f>
        <v/>
      </c>
    </row>
    <row r="189" spans="1:10">
      <c r="A189" s="3" t="str">
        <f>IF(Gym!A29="Ja","Gym","")</f>
        <v/>
      </c>
      <c r="B189" s="3" t="str">
        <f>IF($A189="","",Gym!B29)</f>
        <v/>
      </c>
      <c r="C189" s="3" t="str">
        <f>IF($A189="","",Gym!C29)</f>
        <v/>
      </c>
      <c r="D189" s="3" t="str">
        <f>IF($A189="","",Gym!D29)</f>
        <v/>
      </c>
      <c r="E189" s="3" t="str">
        <f>IF($A189="","",Gym!E29)</f>
        <v/>
      </c>
      <c r="F189" s="3" t="str">
        <f>IF($A189="","",Gym!F29)</f>
        <v/>
      </c>
      <c r="G189" s="15" t="str">
        <f>IF($A189="","",Gym!M29)</f>
        <v/>
      </c>
      <c r="H189" s="16" t="str">
        <f>IF($A189="","",Gym!N29)</f>
        <v/>
      </c>
      <c r="I189" s="3" t="str">
        <f>IF($A189="","",Gym!I29)</f>
        <v/>
      </c>
      <c r="J189" s="3" t="str">
        <f>IF($A189="","",IFERROR(Gym!O29,""))</f>
        <v/>
      </c>
    </row>
    <row r="190" spans="1:10">
      <c r="A190" s="3" t="str">
        <f>IF(Gym!A30="Ja","Gym","")</f>
        <v/>
      </c>
      <c r="B190" s="3" t="str">
        <f>IF($A190="","",Gym!B30)</f>
        <v/>
      </c>
      <c r="C190" s="3" t="str">
        <f>IF($A190="","",Gym!C30)</f>
        <v/>
      </c>
      <c r="D190" s="3" t="str">
        <f>IF($A190="","",Gym!D30)</f>
        <v/>
      </c>
      <c r="E190" s="3" t="str">
        <f>IF($A190="","",Gym!E30)</f>
        <v/>
      </c>
      <c r="F190" s="3" t="str">
        <f>IF($A190="","",Gym!F30)</f>
        <v/>
      </c>
      <c r="G190" s="15" t="str">
        <f>IF($A190="","",Gym!M30)</f>
        <v/>
      </c>
      <c r="H190" s="16" t="str">
        <f>IF($A190="","",Gym!N30)</f>
        <v/>
      </c>
      <c r="I190" s="3" t="str">
        <f>IF($A190="","",Gym!I30)</f>
        <v/>
      </c>
      <c r="J190" s="3" t="str">
        <f>IF($A190="","",IFERROR(Gym!O30,""))</f>
        <v/>
      </c>
    </row>
    <row r="191" spans="1:10">
      <c r="A191" s="3" t="str">
        <f>IF(Gym!A31="Ja","Gym","")</f>
        <v/>
      </c>
      <c r="B191" s="3" t="str">
        <f>IF($A191="","",Gym!B31)</f>
        <v/>
      </c>
      <c r="C191" s="3" t="str">
        <f>IF($A191="","",Gym!C31)</f>
        <v/>
      </c>
      <c r="D191" s="3" t="str">
        <f>IF($A191="","",Gym!D31)</f>
        <v/>
      </c>
      <c r="E191" s="3" t="str">
        <f>IF($A191="","",Gym!E31)</f>
        <v/>
      </c>
      <c r="F191" s="3" t="str">
        <f>IF($A191="","",Gym!F31)</f>
        <v/>
      </c>
      <c r="G191" s="15" t="str">
        <f>IF($A191="","",Gym!M31)</f>
        <v/>
      </c>
      <c r="H191" s="16" t="str">
        <f>IF($A191="","",Gym!N31)</f>
        <v/>
      </c>
      <c r="I191" s="3" t="str">
        <f>IF($A191="","",Gym!I31)</f>
        <v/>
      </c>
      <c r="J191" s="3" t="str">
        <f>IF($A191="","",IFERROR(Gym!O31,""))</f>
        <v/>
      </c>
    </row>
    <row r="192" spans="1:10">
      <c r="A192" s="3" t="str">
        <f>IF(Gym!A32="Ja","Gym","")</f>
        <v/>
      </c>
      <c r="B192" s="3" t="str">
        <f>IF($A192="","",Gym!B32)</f>
        <v/>
      </c>
      <c r="C192" s="3" t="str">
        <f>IF($A192="","",Gym!C32)</f>
        <v/>
      </c>
      <c r="D192" s="3" t="str">
        <f>IF($A192="","",Gym!D32)</f>
        <v/>
      </c>
      <c r="E192" s="3" t="str">
        <f>IF($A192="","",Gym!E32)</f>
        <v/>
      </c>
      <c r="F192" s="3" t="str">
        <f>IF($A192="","",Gym!F32)</f>
        <v/>
      </c>
      <c r="G192" s="15" t="str">
        <f>IF($A192="","",Gym!M32)</f>
        <v/>
      </c>
      <c r="H192" s="16" t="str">
        <f>IF($A192="","",Gym!N32)</f>
        <v/>
      </c>
      <c r="I192" s="3" t="str">
        <f>IF($A192="","",Gym!I32)</f>
        <v/>
      </c>
      <c r="J192" s="3" t="str">
        <f>IF($A192="","",IFERROR(Gym!O32,""))</f>
        <v/>
      </c>
    </row>
    <row r="193" spans="1:10">
      <c r="A193" s="3" t="str">
        <f>IF(Gym!A33="Ja","Gym","")</f>
        <v/>
      </c>
      <c r="B193" s="3" t="str">
        <f>IF($A193="","",Gym!B33)</f>
        <v/>
      </c>
      <c r="C193" s="3" t="str">
        <f>IF($A193="","",Gym!C33)</f>
        <v/>
      </c>
      <c r="D193" s="3" t="str">
        <f>IF($A193="","",Gym!D33)</f>
        <v/>
      </c>
      <c r="E193" s="3" t="str">
        <f>IF($A193="","",Gym!E33)</f>
        <v/>
      </c>
      <c r="F193" s="3" t="str">
        <f>IF($A193="","",Gym!F33)</f>
        <v/>
      </c>
      <c r="G193" s="15" t="str">
        <f>IF($A193="","",Gym!M33)</f>
        <v/>
      </c>
      <c r="H193" s="16" t="str">
        <f>IF($A193="","",Gym!N33)</f>
        <v/>
      </c>
      <c r="I193" s="3" t="str">
        <f>IF($A193="","",Gym!I33)</f>
        <v/>
      </c>
      <c r="J193" s="3" t="str">
        <f>IF($A193="","",IFERROR(Gym!O33,""))</f>
        <v/>
      </c>
    </row>
    <row r="194" spans="1:10">
      <c r="A194" s="3" t="str">
        <f>IF(Gym!A34="Ja","Gym","")</f>
        <v/>
      </c>
      <c r="B194" s="3" t="str">
        <f>IF($A194="","",Gym!B34)</f>
        <v/>
      </c>
      <c r="C194" s="3" t="str">
        <f>IF($A194="","",Gym!C34)</f>
        <v/>
      </c>
      <c r="D194" s="3" t="str">
        <f>IF($A194="","",Gym!D34)</f>
        <v/>
      </c>
      <c r="E194" s="3" t="str">
        <f>IF($A194="","",Gym!E34)</f>
        <v/>
      </c>
      <c r="F194" s="3" t="str">
        <f>IF($A194="","",Gym!F34)</f>
        <v/>
      </c>
      <c r="G194" s="15" t="str">
        <f>IF($A194="","",Gym!M34)</f>
        <v/>
      </c>
      <c r="H194" s="16" t="str">
        <f>IF($A194="","",Gym!N34)</f>
        <v/>
      </c>
      <c r="I194" s="3" t="str">
        <f>IF($A194="","",Gym!I34)</f>
        <v/>
      </c>
      <c r="J194" s="3" t="str">
        <f>IF($A194="","",IFERROR(Gym!O34,""))</f>
        <v/>
      </c>
    </row>
    <row r="195" spans="1:10">
      <c r="A195" s="3" t="str">
        <f>IF(Gym!A35="Ja","Gym","")</f>
        <v/>
      </c>
      <c r="B195" s="3" t="str">
        <f>IF($A195="","",Gym!B35)</f>
        <v/>
      </c>
      <c r="C195" s="3" t="str">
        <f>IF($A195="","",Gym!C35)</f>
        <v/>
      </c>
      <c r="D195" s="3" t="str">
        <f>IF($A195="","",Gym!D35)</f>
        <v/>
      </c>
      <c r="E195" s="3" t="str">
        <f>IF($A195="","",Gym!E35)</f>
        <v/>
      </c>
      <c r="F195" s="3" t="str">
        <f>IF($A195="","",Gym!F35)</f>
        <v/>
      </c>
      <c r="G195" s="15" t="str">
        <f>IF($A195="","",Gym!M35)</f>
        <v/>
      </c>
      <c r="H195" s="16" t="str">
        <f>IF($A195="","",Gym!N35)</f>
        <v/>
      </c>
      <c r="I195" s="3" t="str">
        <f>IF($A195="","",Gym!I35)</f>
        <v/>
      </c>
      <c r="J195" s="3" t="str">
        <f>IF($A195="","",IFERROR(Gym!O35,""))</f>
        <v/>
      </c>
    </row>
    <row r="196" spans="1:10">
      <c r="A196" s="3" t="str">
        <f>IF(Gym!A36="Ja","Gym","")</f>
        <v/>
      </c>
      <c r="B196" s="3" t="str">
        <f>IF($A196="","",Gym!B36)</f>
        <v/>
      </c>
      <c r="C196" s="3" t="str">
        <f>IF($A196="","",Gym!C36)</f>
        <v/>
      </c>
      <c r="D196" s="3" t="str">
        <f>IF($A196="","",Gym!D36)</f>
        <v/>
      </c>
      <c r="E196" s="3" t="str">
        <f>IF($A196="","",Gym!E36)</f>
        <v/>
      </c>
      <c r="F196" s="3" t="str">
        <f>IF($A196="","",Gym!F36)</f>
        <v/>
      </c>
      <c r="G196" s="15" t="str">
        <f>IF($A196="","",Gym!M36)</f>
        <v/>
      </c>
      <c r="H196" s="16" t="str">
        <f>IF($A196="","",Gym!N36)</f>
        <v/>
      </c>
      <c r="I196" s="3" t="str">
        <f>IF($A196="","",Gym!I36)</f>
        <v/>
      </c>
      <c r="J196" s="3" t="str">
        <f>IF($A196="","",IFERROR(Gym!O36,""))</f>
        <v/>
      </c>
    </row>
    <row r="197" spans="1:10">
      <c r="A197" s="3" t="str">
        <f>IF(Gym!A37="Ja","Gym","")</f>
        <v/>
      </c>
      <c r="B197" s="3" t="str">
        <f>IF($A197="","",Gym!B37)</f>
        <v/>
      </c>
      <c r="C197" s="3" t="str">
        <f>IF($A197="","",Gym!C37)</f>
        <v/>
      </c>
      <c r="D197" s="3" t="str">
        <f>IF($A197="","",Gym!D37)</f>
        <v/>
      </c>
      <c r="E197" s="3" t="str">
        <f>IF($A197="","",Gym!E37)</f>
        <v/>
      </c>
      <c r="F197" s="3" t="str">
        <f>IF($A197="","",Gym!F37)</f>
        <v/>
      </c>
      <c r="G197" s="15" t="str">
        <f>IF($A197="","",Gym!M37)</f>
        <v/>
      </c>
      <c r="H197" s="16" t="str">
        <f>IF($A197="","",Gym!N37)</f>
        <v/>
      </c>
      <c r="I197" s="3" t="str">
        <f>IF($A197="","",Gym!I37)</f>
        <v/>
      </c>
      <c r="J197" s="3" t="str">
        <f>IF($A197="","",IFERROR(Gym!O37,""))</f>
        <v/>
      </c>
    </row>
    <row r="198" spans="1:10">
      <c r="A198" s="3" t="str">
        <f>IF(Gym!A38="Ja","Gym","")</f>
        <v/>
      </c>
      <c r="B198" s="3" t="str">
        <f>IF($A198="","",Gym!B38)</f>
        <v/>
      </c>
      <c r="C198" s="3" t="str">
        <f>IF($A198="","",Gym!C38)</f>
        <v/>
      </c>
      <c r="D198" s="3" t="str">
        <f>IF($A198="","",Gym!D38)</f>
        <v/>
      </c>
      <c r="E198" s="3" t="str">
        <f>IF($A198="","",Gym!E38)</f>
        <v/>
      </c>
      <c r="F198" s="3" t="str">
        <f>IF($A198="","",Gym!F38)</f>
        <v/>
      </c>
      <c r="G198" s="15" t="str">
        <f>IF($A198="","",Gym!M38)</f>
        <v/>
      </c>
      <c r="H198" s="16" t="str">
        <f>IF($A198="","",Gym!N38)</f>
        <v/>
      </c>
      <c r="I198" s="3" t="str">
        <f>IF($A198="","",Gym!I38)</f>
        <v/>
      </c>
      <c r="J198" s="3" t="str">
        <f>IF($A198="","",IFERROR(Gym!O38,""))</f>
        <v/>
      </c>
    </row>
    <row r="199" spans="1:10">
      <c r="A199" s="3" t="str">
        <f>IF(Gym!A39="Ja","Gym","")</f>
        <v/>
      </c>
      <c r="B199" s="3" t="str">
        <f>IF($A199="","",Gym!B39)</f>
        <v/>
      </c>
      <c r="C199" s="3" t="str">
        <f>IF($A199="","",Gym!C39)</f>
        <v/>
      </c>
      <c r="D199" s="3" t="str">
        <f>IF($A199="","",Gym!D39)</f>
        <v/>
      </c>
      <c r="E199" s="3" t="str">
        <f>IF($A199="","",Gym!E39)</f>
        <v/>
      </c>
      <c r="F199" s="3" t="str">
        <f>IF($A199="","",Gym!F39)</f>
        <v/>
      </c>
      <c r="G199" s="15" t="str">
        <f>IF($A199="","",Gym!M39)</f>
        <v/>
      </c>
      <c r="H199" s="16" t="str">
        <f>IF($A199="","",Gym!N39)</f>
        <v/>
      </c>
      <c r="I199" s="3" t="str">
        <f>IF($A199="","",Gym!I39)</f>
        <v/>
      </c>
      <c r="J199" s="3" t="str">
        <f>IF($A199="","",IFERROR(Gym!O39,""))</f>
        <v/>
      </c>
    </row>
    <row r="200" spans="1:10">
      <c r="A200" s="3" t="str">
        <f>IF(Gym!A40="Ja","Gym","")</f>
        <v/>
      </c>
      <c r="B200" s="3" t="str">
        <f>IF($A200="","",Gym!B40)</f>
        <v/>
      </c>
      <c r="C200" s="3" t="str">
        <f>IF($A200="","",Gym!C40)</f>
        <v/>
      </c>
      <c r="D200" s="3" t="str">
        <f>IF($A200="","",Gym!D40)</f>
        <v/>
      </c>
      <c r="E200" s="3" t="str">
        <f>IF($A200="","",Gym!E40)</f>
        <v/>
      </c>
      <c r="F200" s="3" t="str">
        <f>IF($A200="","",Gym!F40)</f>
        <v/>
      </c>
      <c r="G200" s="15" t="str">
        <f>IF($A200="","",Gym!M40)</f>
        <v/>
      </c>
      <c r="H200" s="16" t="str">
        <f>IF($A200="","",Gym!N40)</f>
        <v/>
      </c>
      <c r="I200" s="3" t="str">
        <f>IF($A200="","",Gym!I40)</f>
        <v/>
      </c>
      <c r="J200" s="3" t="str">
        <f>IF($A200="","",IFERROR(Gym!O40,""))</f>
        <v/>
      </c>
    </row>
    <row r="201" spans="1:10">
      <c r="A201" s="3" t="str">
        <f>IF(Gym!A41="Ja","Gym","")</f>
        <v/>
      </c>
      <c r="B201" s="3" t="str">
        <f>IF($A201="","",Gym!B41)</f>
        <v/>
      </c>
      <c r="C201" s="3" t="str">
        <f>IF($A201="","",Gym!C41)</f>
        <v/>
      </c>
      <c r="D201" s="3" t="str">
        <f>IF($A201="","",Gym!D41)</f>
        <v/>
      </c>
      <c r="E201" s="3" t="str">
        <f>IF($A201="","",Gym!E41)</f>
        <v/>
      </c>
      <c r="F201" s="3" t="str">
        <f>IF($A201="","",Gym!F41)</f>
        <v/>
      </c>
      <c r="G201" s="15" t="str">
        <f>IF($A201="","",Gym!M41)</f>
        <v/>
      </c>
      <c r="H201" s="16" t="str">
        <f>IF($A201="","",Gym!N41)</f>
        <v/>
      </c>
      <c r="I201" s="3" t="str">
        <f>IF($A201="","",Gym!I41)</f>
        <v/>
      </c>
      <c r="J201" s="3" t="str">
        <f>IF($A201="","",IFERROR(Gym!O41,""))</f>
        <v/>
      </c>
    </row>
    <row r="202" spans="1:10">
      <c r="A202" s="3" t="str">
        <f>IF(Gym!A42="Ja","Gym","")</f>
        <v/>
      </c>
      <c r="B202" s="3" t="str">
        <f>IF($A202="","",Gym!B42)</f>
        <v/>
      </c>
      <c r="C202" s="3" t="str">
        <f>IF($A202="","",Gym!C42)</f>
        <v/>
      </c>
      <c r="D202" s="3" t="str">
        <f>IF($A202="","",Gym!D42)</f>
        <v/>
      </c>
      <c r="E202" s="3" t="str">
        <f>IF($A202="","",Gym!E42)</f>
        <v/>
      </c>
      <c r="F202" s="3" t="str">
        <f>IF($A202="","",Gym!F42)</f>
        <v/>
      </c>
      <c r="G202" s="15" t="str">
        <f>IF($A202="","",Gym!M42)</f>
        <v/>
      </c>
      <c r="H202" s="16" t="str">
        <f>IF($A202="","",Gym!N42)</f>
        <v/>
      </c>
      <c r="I202" s="3" t="str">
        <f>IF($A202="","",Gym!I42)</f>
        <v/>
      </c>
      <c r="J202" s="3" t="str">
        <f>IF($A202="","",IFERROR(Gym!O42,""))</f>
        <v/>
      </c>
    </row>
    <row r="203" spans="1:10">
      <c r="A203" s="3" t="str">
        <f>IF(Gym!A43="Ja","Gym","")</f>
        <v/>
      </c>
      <c r="B203" s="3" t="str">
        <f>IF($A203="","",Gym!B43)</f>
        <v/>
      </c>
      <c r="C203" s="3" t="str">
        <f>IF($A203="","",Gym!C43)</f>
        <v/>
      </c>
      <c r="D203" s="3" t="str">
        <f>IF($A203="","",Gym!D43)</f>
        <v/>
      </c>
      <c r="E203" s="3" t="str">
        <f>IF($A203="","",Gym!E43)</f>
        <v/>
      </c>
      <c r="F203" s="3" t="str">
        <f>IF($A203="","",Gym!F43)</f>
        <v/>
      </c>
      <c r="G203" s="15" t="str">
        <f>IF($A203="","",Gym!M43)</f>
        <v/>
      </c>
      <c r="H203" s="16" t="str">
        <f>IF($A203="","",Gym!N43)</f>
        <v/>
      </c>
      <c r="I203" s="3" t="str">
        <f>IF($A203="","",Gym!I43)</f>
        <v/>
      </c>
      <c r="J203" s="3" t="str">
        <f>IF($A203="","",IFERROR(Gym!O43,""))</f>
        <v/>
      </c>
    </row>
    <row r="204" spans="1:10">
      <c r="A204" s="3" t="str">
        <f>IF(Gym!A44="Ja","Gym","")</f>
        <v/>
      </c>
      <c r="B204" s="3" t="str">
        <f>IF($A204="","",Gym!B44)</f>
        <v/>
      </c>
      <c r="C204" s="3" t="str">
        <f>IF($A204="","",Gym!C44)</f>
        <v/>
      </c>
      <c r="D204" s="3" t="str">
        <f>IF($A204="","",Gym!D44)</f>
        <v/>
      </c>
      <c r="E204" s="3" t="str">
        <f>IF($A204="","",Gym!E44)</f>
        <v/>
      </c>
      <c r="F204" s="3" t="str">
        <f>IF($A204="","",Gym!F44)</f>
        <v/>
      </c>
      <c r="G204" s="15" t="str">
        <f>IF($A204="","",Gym!M44)</f>
        <v/>
      </c>
      <c r="H204" s="16" t="str">
        <f>IF($A204="","",Gym!N44)</f>
        <v/>
      </c>
      <c r="I204" s="3" t="str">
        <f>IF($A204="","",Gym!I44)</f>
        <v/>
      </c>
      <c r="J204" s="3" t="str">
        <f>IF($A204="","",IFERROR(Gym!O44,""))</f>
        <v/>
      </c>
    </row>
    <row r="205" spans="1:10">
      <c r="A205" s="3" t="str">
        <f>IF(Gym!A45="Ja","Gym","")</f>
        <v/>
      </c>
      <c r="B205" s="3" t="str">
        <f>IF($A205="","",Gym!B45)</f>
        <v/>
      </c>
      <c r="C205" s="3" t="str">
        <f>IF($A205="","",Gym!C45)</f>
        <v/>
      </c>
      <c r="D205" s="3" t="str">
        <f>IF($A205="","",Gym!D45)</f>
        <v/>
      </c>
      <c r="E205" s="3" t="str">
        <f>IF($A205="","",Gym!E45)</f>
        <v/>
      </c>
      <c r="F205" s="3" t="str">
        <f>IF($A205="","",Gym!F45)</f>
        <v/>
      </c>
      <c r="G205" s="15" t="str">
        <f>IF($A205="","",Gym!M45)</f>
        <v/>
      </c>
      <c r="H205" s="16" t="str">
        <f>IF($A205="","",Gym!N45)</f>
        <v/>
      </c>
      <c r="I205" s="3" t="str">
        <f>IF($A205="","",Gym!I45)</f>
        <v/>
      </c>
      <c r="J205" s="3" t="str">
        <f>IF($A205="","",IFERROR(Gym!O45,""))</f>
        <v/>
      </c>
    </row>
    <row r="206" spans="1:10">
      <c r="A206" s="3" t="str">
        <f>IF(Gym!A46="Ja","Gym","")</f>
        <v/>
      </c>
      <c r="B206" s="3" t="str">
        <f>IF($A206="","",Gym!B46)</f>
        <v/>
      </c>
      <c r="C206" s="3" t="str">
        <f>IF($A206="","",Gym!C46)</f>
        <v/>
      </c>
      <c r="D206" s="3" t="str">
        <f>IF($A206="","",Gym!D46)</f>
        <v/>
      </c>
      <c r="E206" s="3" t="str">
        <f>IF($A206="","",Gym!E46)</f>
        <v/>
      </c>
      <c r="F206" s="3" t="str">
        <f>IF($A206="","",Gym!F46)</f>
        <v/>
      </c>
      <c r="G206" s="15" t="str">
        <f>IF($A206="","",Gym!M46)</f>
        <v/>
      </c>
      <c r="H206" s="16" t="str">
        <f>IF($A206="","",Gym!N46)</f>
        <v/>
      </c>
      <c r="I206" s="3" t="str">
        <f>IF($A206="","",Gym!I46)</f>
        <v/>
      </c>
      <c r="J206" s="3" t="str">
        <f>IF($A206="","",IFERROR(Gym!O46,""))</f>
        <v/>
      </c>
    </row>
    <row r="207" spans="1:10">
      <c r="A207" s="3" t="str">
        <f>IF(Gym!A27="Ja","Gym","")</f>
        <v/>
      </c>
      <c r="B207" s="3" t="str">
        <f>IF($A207="","",Gym!B27)</f>
        <v/>
      </c>
      <c r="C207" s="3" t="str">
        <f>IF($A207="","",Gym!C27)</f>
        <v/>
      </c>
      <c r="D207" s="3" t="str">
        <f>IF($A207="","",Gym!D27)</f>
        <v/>
      </c>
      <c r="E207" s="3" t="str">
        <f>IF($A207="","",Gym!E27)</f>
        <v/>
      </c>
      <c r="F207" s="3" t="str">
        <f>IF($A207="","",Gym!F27)</f>
        <v/>
      </c>
      <c r="G207" s="15" t="str">
        <f>IF($A207="","",Gym!M27)</f>
        <v/>
      </c>
      <c r="H207" s="16" t="str">
        <f>IF($A207="","",Gym!N27)</f>
        <v/>
      </c>
      <c r="I207" s="3" t="str">
        <f>IF($A207="","",Gym!I27)</f>
        <v/>
      </c>
      <c r="J207" s="3" t="str">
        <f>IF($A207="","",Gym!O27)</f>
        <v/>
      </c>
    </row>
    <row r="208" spans="1:10">
      <c r="A208" s="3" t="str">
        <f>IF(Gym!A28="Ja","Gym","")</f>
        <v/>
      </c>
      <c r="B208" s="3" t="str">
        <f>IF($A208="","",Gym!B28)</f>
        <v/>
      </c>
      <c r="C208" s="3" t="str">
        <f>IF($A208="","",Gym!C28)</f>
        <v/>
      </c>
      <c r="D208" s="3" t="str">
        <f>IF($A208="","",Gym!D28)</f>
        <v/>
      </c>
      <c r="E208" s="3" t="str">
        <f>IF($A208="","",Gym!E28)</f>
        <v/>
      </c>
      <c r="F208" s="3" t="str">
        <f>IF($A208="","",Gym!F28)</f>
        <v/>
      </c>
      <c r="G208" s="15" t="str">
        <f>IF($A208="","",Gym!M28)</f>
        <v/>
      </c>
      <c r="H208" s="16" t="str">
        <f>IF($A208="","",Gym!N28)</f>
        <v/>
      </c>
      <c r="I208" s="3" t="str">
        <f>IF($A208="","",Gym!I28)</f>
        <v/>
      </c>
      <c r="J208" s="3" t="str">
        <f>IF($A208="","",Gym!O28)</f>
        <v/>
      </c>
    </row>
    <row r="209" spans="1:10">
      <c r="A209" s="3" t="str">
        <f>IF(Gym!A29="Ja","Gym","")</f>
        <v/>
      </c>
      <c r="B209" s="3" t="str">
        <f>IF($A209="","",Gym!B29)</f>
        <v/>
      </c>
      <c r="C209" s="3" t="str">
        <f>IF($A209="","",Gym!C29)</f>
        <v/>
      </c>
      <c r="D209" s="3" t="str">
        <f>IF($A209="","",Gym!D29)</f>
        <v/>
      </c>
      <c r="E209" s="3" t="str">
        <f>IF($A209="","",Gym!E29)</f>
        <v/>
      </c>
      <c r="F209" s="3" t="str">
        <f>IF($A209="","",Gym!F29)</f>
        <v/>
      </c>
      <c r="G209" s="15" t="str">
        <f>IF($A209="","",Gym!M29)</f>
        <v/>
      </c>
      <c r="H209" s="16" t="str">
        <f>IF($A209="","",Gym!N29)</f>
        <v/>
      </c>
      <c r="I209" s="3" t="str">
        <f>IF($A209="","",Gym!I29)</f>
        <v/>
      </c>
      <c r="J209" s="3" t="str">
        <f>IF($A209="","",Gym!O29)</f>
        <v/>
      </c>
    </row>
    <row r="210" spans="1:10">
      <c r="A210" s="3" t="str">
        <f>IF(Gym!A30="Ja","Gym","")</f>
        <v/>
      </c>
      <c r="B210" s="3" t="str">
        <f>IF($A210="","",Gym!B30)</f>
        <v/>
      </c>
      <c r="C210" s="3" t="str">
        <f>IF($A210="","",Gym!C30)</f>
        <v/>
      </c>
      <c r="D210" s="3" t="str">
        <f>IF($A210="","",Gym!D30)</f>
        <v/>
      </c>
      <c r="E210" s="3" t="str">
        <f>IF($A210="","",Gym!E30)</f>
        <v/>
      </c>
      <c r="F210" s="3" t="str">
        <f>IF($A210="","",Gym!F30)</f>
        <v/>
      </c>
      <c r="G210" s="15" t="str">
        <f>IF($A210="","",Gym!M30)</f>
        <v/>
      </c>
      <c r="H210" s="16" t="str">
        <f>IF($A210="","",Gym!N30)</f>
        <v/>
      </c>
      <c r="I210" s="3" t="str">
        <f>IF($A210="","",Gym!I30)</f>
        <v/>
      </c>
      <c r="J210" s="3" t="str">
        <f>IF($A210="","",Gym!O30)</f>
        <v/>
      </c>
    </row>
    <row r="211" spans="1:10">
      <c r="A211" s="3" t="str">
        <f>IF(Gym!A31="Ja","Gym","")</f>
        <v/>
      </c>
      <c r="B211" s="3" t="str">
        <f>IF($A211="","",Gym!B31)</f>
        <v/>
      </c>
      <c r="C211" s="3" t="str">
        <f>IF($A211="","",Gym!C31)</f>
        <v/>
      </c>
      <c r="D211" s="3" t="str">
        <f>IF($A211="","",Gym!D31)</f>
        <v/>
      </c>
      <c r="E211" s="3" t="str">
        <f>IF($A211="","",Gym!E31)</f>
        <v/>
      </c>
      <c r="F211" s="3" t="str">
        <f>IF($A211="","",Gym!F31)</f>
        <v/>
      </c>
      <c r="G211" s="15" t="str">
        <f>IF($A211="","",Gym!M31)</f>
        <v/>
      </c>
      <c r="H211" s="16" t="str">
        <f>IF($A211="","",Gym!N31)</f>
        <v/>
      </c>
      <c r="I211" s="3" t="str">
        <f>IF($A211="","",Gym!I31)</f>
        <v/>
      </c>
      <c r="J211" s="3" t="str">
        <f>IF($A211="","",Gym!O31)</f>
        <v/>
      </c>
    </row>
    <row r="212" spans="1:10">
      <c r="A212" s="3" t="str">
        <f>IF(Gym!A32="Ja","Gym","")</f>
        <v/>
      </c>
      <c r="B212" s="3" t="str">
        <f>IF($A212="","",Gym!B32)</f>
        <v/>
      </c>
      <c r="C212" s="3" t="str">
        <f>IF($A212="","",Gym!C32)</f>
        <v/>
      </c>
      <c r="D212" s="3" t="str">
        <f>IF($A212="","",Gym!D32)</f>
        <v/>
      </c>
      <c r="E212" s="3" t="str">
        <f>IF($A212="","",Gym!E32)</f>
        <v/>
      </c>
      <c r="F212" s="3" t="str">
        <f>IF($A212="","",Gym!F32)</f>
        <v/>
      </c>
      <c r="G212" s="15" t="str">
        <f>IF($A212="","",Gym!M32)</f>
        <v/>
      </c>
      <c r="H212" s="16" t="str">
        <f>IF($A212="","",Gym!N32)</f>
        <v/>
      </c>
      <c r="I212" s="3" t="str">
        <f>IF($A212="","",Gym!I32)</f>
        <v/>
      </c>
      <c r="J212" s="3" t="str">
        <f>IF($A212="","",Gym!O32)</f>
        <v/>
      </c>
    </row>
    <row r="213" spans="1:10">
      <c r="A213" s="3" t="str">
        <f>IF(Gym!A33="Ja","Gym","")</f>
        <v/>
      </c>
      <c r="B213" s="3" t="str">
        <f>IF($A213="","",Gym!B33)</f>
        <v/>
      </c>
      <c r="C213" s="3" t="str">
        <f>IF($A213="","",Gym!C33)</f>
        <v/>
      </c>
      <c r="D213" s="3" t="str">
        <f>IF($A213="","",Gym!D33)</f>
        <v/>
      </c>
      <c r="E213" s="3" t="str">
        <f>IF($A213="","",Gym!E33)</f>
        <v/>
      </c>
      <c r="F213" s="3" t="str">
        <f>IF($A213="","",Gym!F33)</f>
        <v/>
      </c>
      <c r="G213" s="15" t="str">
        <f>IF($A213="","",Gym!M33)</f>
        <v/>
      </c>
      <c r="H213" s="16" t="str">
        <f>IF($A213="","",Gym!N33)</f>
        <v/>
      </c>
      <c r="I213" s="3" t="str">
        <f>IF($A213="","",Gym!I33)</f>
        <v/>
      </c>
      <c r="J213" s="3" t="str">
        <f>IF($A213="","",Gym!O33)</f>
        <v/>
      </c>
    </row>
    <row r="214" spans="1:10">
      <c r="A214" s="3" t="str">
        <f>IF(Gym!A34="Ja","Gym","")</f>
        <v/>
      </c>
      <c r="B214" s="3" t="str">
        <f>IF($A214="","",Gym!B34)</f>
        <v/>
      </c>
      <c r="C214" s="3" t="str">
        <f>IF($A214="","",Gym!C34)</f>
        <v/>
      </c>
      <c r="D214" s="3" t="str">
        <f>IF($A214="","",Gym!D34)</f>
        <v/>
      </c>
      <c r="E214" s="3" t="str">
        <f>IF($A214="","",Gym!E34)</f>
        <v/>
      </c>
      <c r="F214" s="3" t="str">
        <f>IF($A214="","",Gym!F34)</f>
        <v/>
      </c>
      <c r="G214" s="15" t="str">
        <f>IF($A214="","",Gym!M34)</f>
        <v/>
      </c>
      <c r="H214" s="16" t="str">
        <f>IF($A214="","",Gym!N34)</f>
        <v/>
      </c>
      <c r="I214" s="3" t="str">
        <f>IF($A214="","",Gym!I34)</f>
        <v/>
      </c>
      <c r="J214" s="3" t="str">
        <f>IF($A214="","",Gym!O34)</f>
        <v/>
      </c>
    </row>
    <row r="215" spans="1:10">
      <c r="A215" s="3" t="str">
        <f>IF(Gym!A35="Ja","Gym","")</f>
        <v/>
      </c>
      <c r="B215" s="3" t="str">
        <f>IF($A215="","",Gym!B35)</f>
        <v/>
      </c>
      <c r="C215" s="3" t="str">
        <f>IF($A215="","",Gym!C35)</f>
        <v/>
      </c>
      <c r="D215" s="3" t="str">
        <f>IF($A215="","",Gym!D35)</f>
        <v/>
      </c>
      <c r="E215" s="3" t="str">
        <f>IF($A215="","",Gym!E35)</f>
        <v/>
      </c>
      <c r="F215" s="3" t="str">
        <f>IF($A215="","",Gym!F35)</f>
        <v/>
      </c>
      <c r="G215" s="15" t="str">
        <f>IF($A215="","",Gym!M35)</f>
        <v/>
      </c>
      <c r="H215" s="16" t="str">
        <f>IF($A215="","",Gym!N35)</f>
        <v/>
      </c>
      <c r="I215" s="3" t="str">
        <f>IF($A215="","",Gym!I35)</f>
        <v/>
      </c>
      <c r="J215" s="3" t="str">
        <f>IF($A215="","",Gym!O35)</f>
        <v/>
      </c>
    </row>
    <row r="216" spans="1:10">
      <c r="A216" s="3" t="str">
        <f>IF(Gym!A36="Ja","Gym","")</f>
        <v/>
      </c>
      <c r="B216" s="3" t="str">
        <f>IF($A216="","",Gym!B36)</f>
        <v/>
      </c>
      <c r="C216" s="3" t="str">
        <f>IF($A216="","",Gym!C36)</f>
        <v/>
      </c>
      <c r="D216" s="3" t="str">
        <f>IF($A216="","",Gym!D36)</f>
        <v/>
      </c>
      <c r="E216" s="3" t="str">
        <f>IF($A216="","",Gym!E36)</f>
        <v/>
      </c>
      <c r="F216" s="3" t="str">
        <f>IF($A216="","",Gym!F36)</f>
        <v/>
      </c>
      <c r="G216" s="15" t="str">
        <f>IF($A216="","",Gym!M36)</f>
        <v/>
      </c>
      <c r="H216" s="16" t="str">
        <f>IF($A216="","",Gym!N36)</f>
        <v/>
      </c>
      <c r="I216" s="3" t="str">
        <f>IF($A216="","",Gym!I36)</f>
        <v/>
      </c>
      <c r="J216" s="3" t="str">
        <f>IF($A216="","",Gym!O36)</f>
        <v/>
      </c>
    </row>
    <row r="217" spans="1:10">
      <c r="A217" s="3" t="str">
        <f>IF(Gym!A37="Ja","Gym","")</f>
        <v/>
      </c>
      <c r="B217" s="3" t="str">
        <f>IF($A217="","",Gym!B37)</f>
        <v/>
      </c>
      <c r="C217" s="3" t="str">
        <f>IF($A217="","",Gym!C37)</f>
        <v/>
      </c>
      <c r="D217" s="3" t="str">
        <f>IF($A217="","",Gym!D37)</f>
        <v/>
      </c>
      <c r="E217" s="3" t="str">
        <f>IF($A217="","",Gym!E37)</f>
        <v/>
      </c>
      <c r="F217" s="3" t="str">
        <f>IF($A217="","",Gym!F37)</f>
        <v/>
      </c>
      <c r="G217" s="15" t="str">
        <f>IF($A217="","",Gym!M37)</f>
        <v/>
      </c>
      <c r="H217" s="16" t="str">
        <f>IF($A217="","",Gym!N37)</f>
        <v/>
      </c>
      <c r="I217" s="3" t="str">
        <f>IF($A217="","",Gym!I37)</f>
        <v/>
      </c>
      <c r="J217" s="3" t="str">
        <f>IF($A217="","",Gym!O37)</f>
        <v/>
      </c>
    </row>
    <row r="218" spans="1:10">
      <c r="A218" s="3" t="str">
        <f>IF(Gym!A38="Ja","Gym","")</f>
        <v/>
      </c>
      <c r="B218" s="3" t="str">
        <f>IF($A218="","",Gym!B38)</f>
        <v/>
      </c>
      <c r="C218" s="3" t="str">
        <f>IF($A218="","",Gym!C38)</f>
        <v/>
      </c>
      <c r="D218" s="3" t="str">
        <f>IF($A218="","",Gym!D38)</f>
        <v/>
      </c>
      <c r="E218" s="3" t="str">
        <f>IF($A218="","",Gym!E38)</f>
        <v/>
      </c>
      <c r="F218" s="3" t="str">
        <f>IF($A218="","",Gym!F38)</f>
        <v/>
      </c>
      <c r="G218" s="15" t="str">
        <f>IF($A218="","",Gym!M38)</f>
        <v/>
      </c>
      <c r="H218" s="16" t="str">
        <f>IF($A218="","",Gym!N38)</f>
        <v/>
      </c>
      <c r="I218" s="3" t="str">
        <f>IF($A218="","",Gym!I38)</f>
        <v/>
      </c>
      <c r="J218" s="3" t="str">
        <f>IF($A218="","",Gym!O38)</f>
        <v/>
      </c>
    </row>
    <row r="219" spans="1:10">
      <c r="A219" s="3" t="str">
        <f>IF(Gym!A39="Ja","Gym","")</f>
        <v/>
      </c>
      <c r="B219" s="3" t="str">
        <f>IF($A219="","",Gym!B39)</f>
        <v/>
      </c>
      <c r="C219" s="3" t="str">
        <f>IF($A219="","",Gym!C39)</f>
        <v/>
      </c>
      <c r="D219" s="3" t="str">
        <f>IF($A219="","",Gym!D39)</f>
        <v/>
      </c>
      <c r="E219" s="3" t="str">
        <f>IF($A219="","",Gym!E39)</f>
        <v/>
      </c>
      <c r="F219" s="3" t="str">
        <f>IF($A219="","",Gym!F39)</f>
        <v/>
      </c>
      <c r="G219" s="15" t="str">
        <f>IF($A219="","",Gym!M39)</f>
        <v/>
      </c>
      <c r="H219" s="16" t="str">
        <f>IF($A219="","",Gym!N39)</f>
        <v/>
      </c>
      <c r="I219" s="3" t="str">
        <f>IF($A219="","",Gym!I39)</f>
        <v/>
      </c>
      <c r="J219" s="3" t="str">
        <f>IF($A219="","",Gym!O39)</f>
        <v/>
      </c>
    </row>
    <row r="220" spans="1:10">
      <c r="A220" s="3" t="str">
        <f>IF(Gym!A40="Ja","Gym","")</f>
        <v/>
      </c>
      <c r="B220" s="3" t="str">
        <f>IF($A220="","",Gym!B40)</f>
        <v/>
      </c>
      <c r="C220" s="3" t="str">
        <f>IF($A220="","",Gym!C40)</f>
        <v/>
      </c>
      <c r="D220" s="3" t="str">
        <f>IF($A220="","",Gym!D40)</f>
        <v/>
      </c>
      <c r="E220" s="3" t="str">
        <f>IF($A220="","",Gym!E40)</f>
        <v/>
      </c>
      <c r="F220" s="3" t="str">
        <f>IF($A220="","",Gym!F40)</f>
        <v/>
      </c>
      <c r="G220" s="15" t="str">
        <f>IF($A220="","",Gym!M40)</f>
        <v/>
      </c>
      <c r="H220" s="16" t="str">
        <f>IF($A220="","",Gym!N40)</f>
        <v/>
      </c>
      <c r="I220" s="3" t="str">
        <f>IF($A220="","",Gym!I40)</f>
        <v/>
      </c>
      <c r="J220" s="3" t="str">
        <f>IF($A220="","",Gym!O40)</f>
        <v/>
      </c>
    </row>
    <row r="221" spans="1:10">
      <c r="A221" s="3" t="str">
        <f>IF(Gym!A41="Ja","Gym","")</f>
        <v/>
      </c>
      <c r="B221" s="3" t="str">
        <f>IF($A221="","",Gym!B41)</f>
        <v/>
      </c>
      <c r="C221" s="3" t="str">
        <f>IF($A221="","",Gym!C41)</f>
        <v/>
      </c>
      <c r="D221" s="3" t="str">
        <f>IF($A221="","",Gym!D41)</f>
        <v/>
      </c>
      <c r="E221" s="3" t="str">
        <f>IF($A221="","",Gym!E41)</f>
        <v/>
      </c>
      <c r="F221" s="3" t="str">
        <f>IF($A221="","",Gym!F41)</f>
        <v/>
      </c>
      <c r="G221" s="15" t="str">
        <f>IF($A221="","",Gym!M41)</f>
        <v/>
      </c>
      <c r="H221" s="16" t="str">
        <f>IF($A221="","",Gym!N41)</f>
        <v/>
      </c>
      <c r="I221" s="3" t="str">
        <f>IF($A221="","",Gym!I41)</f>
        <v/>
      </c>
      <c r="J221" s="3" t="str">
        <f>IF($A221="","",Gym!O41)</f>
        <v/>
      </c>
    </row>
    <row r="222" spans="1:10">
      <c r="A222" s="3" t="str">
        <f>IF(Gym!A42="Ja","Gym","")</f>
        <v/>
      </c>
      <c r="B222" s="3" t="str">
        <f>IF($A222="","",Gym!B42)</f>
        <v/>
      </c>
      <c r="C222" s="3" t="str">
        <f>IF($A222="","",Gym!C42)</f>
        <v/>
      </c>
      <c r="D222" s="3" t="str">
        <f>IF($A222="","",Gym!D42)</f>
        <v/>
      </c>
      <c r="E222" s="3" t="str">
        <f>IF($A222="","",Gym!E42)</f>
        <v/>
      </c>
      <c r="F222" s="3" t="str">
        <f>IF($A222="","",Gym!F42)</f>
        <v/>
      </c>
      <c r="G222" s="15" t="str">
        <f>IF($A222="","",Gym!M42)</f>
        <v/>
      </c>
      <c r="H222" s="16" t="str">
        <f>IF($A222="","",Gym!N42)</f>
        <v/>
      </c>
      <c r="I222" s="3" t="str">
        <f>IF($A222="","",Gym!I42)</f>
        <v/>
      </c>
      <c r="J222" s="3" t="str">
        <f>IF($A222="","",Gym!O42)</f>
        <v/>
      </c>
    </row>
    <row r="223" spans="1:10">
      <c r="A223" s="3" t="str">
        <f>IF(Gym!A43="Ja","Gym","")</f>
        <v/>
      </c>
      <c r="B223" s="3" t="str">
        <f>IF($A223="","",Gym!B43)</f>
        <v/>
      </c>
      <c r="C223" s="3" t="str">
        <f>IF($A223="","",Gym!C43)</f>
        <v/>
      </c>
      <c r="D223" s="3" t="str">
        <f>IF($A223="","",Gym!D43)</f>
        <v/>
      </c>
      <c r="E223" s="3" t="str">
        <f>IF($A223="","",Gym!E43)</f>
        <v/>
      </c>
      <c r="F223" s="3" t="str">
        <f>IF($A223="","",Gym!F43)</f>
        <v/>
      </c>
      <c r="G223" s="15" t="str">
        <f>IF($A223="","",Gym!M43)</f>
        <v/>
      </c>
      <c r="H223" s="16" t="str">
        <f>IF($A223="","",Gym!N43)</f>
        <v/>
      </c>
      <c r="I223" s="3" t="str">
        <f>IF($A223="","",Gym!I43)</f>
        <v/>
      </c>
      <c r="J223" s="3" t="str">
        <f>IF($A223="","",Gym!O43)</f>
        <v/>
      </c>
    </row>
    <row r="224" spans="1:10">
      <c r="A224" s="3" t="str">
        <f>IF(Gym!A44="Ja","Gym","")</f>
        <v/>
      </c>
      <c r="B224" s="3" t="str">
        <f>IF($A224="","",Gym!B44)</f>
        <v/>
      </c>
      <c r="C224" s="3" t="str">
        <f>IF($A224="","",Gym!C44)</f>
        <v/>
      </c>
      <c r="D224" s="3" t="str">
        <f>IF($A224="","",Gym!D44)</f>
        <v/>
      </c>
      <c r="E224" s="3" t="str">
        <f>IF($A224="","",Gym!E44)</f>
        <v/>
      </c>
      <c r="F224" s="3" t="str">
        <f>IF($A224="","",Gym!F44)</f>
        <v/>
      </c>
      <c r="G224" s="15" t="str">
        <f>IF($A224="","",Gym!M44)</f>
        <v/>
      </c>
      <c r="H224" s="16" t="str">
        <f>IF($A224="","",Gym!N44)</f>
        <v/>
      </c>
      <c r="I224" s="3" t="str">
        <f>IF($A224="","",Gym!I44)</f>
        <v/>
      </c>
      <c r="J224" s="3" t="str">
        <f>IF($A224="","",Gym!O44)</f>
        <v/>
      </c>
    </row>
    <row r="225" spans="1:10">
      <c r="A225" s="3" t="str">
        <f>IF(Gym!A45="Ja","Gym","")</f>
        <v/>
      </c>
      <c r="B225" s="3" t="str">
        <f>IF($A225="","",Gym!B45)</f>
        <v/>
      </c>
      <c r="C225" s="3" t="str">
        <f>IF($A225="","",Gym!C45)</f>
        <v/>
      </c>
      <c r="D225" s="3" t="str">
        <f>IF($A225="","",Gym!D45)</f>
        <v/>
      </c>
      <c r="E225" s="3" t="str">
        <f>IF($A225="","",Gym!E45)</f>
        <v/>
      </c>
      <c r="F225" s="3" t="str">
        <f>IF($A225="","",Gym!F45)</f>
        <v/>
      </c>
      <c r="G225" s="15" t="str">
        <f>IF($A225="","",Gym!M45)</f>
        <v/>
      </c>
      <c r="H225" s="16" t="str">
        <f>IF($A225="","",Gym!N45)</f>
        <v/>
      </c>
      <c r="I225" s="3" t="str">
        <f>IF($A225="","",Gym!I45)</f>
        <v/>
      </c>
      <c r="J225" s="3" t="str">
        <f>IF($A225="","",Gym!O45)</f>
        <v/>
      </c>
    </row>
    <row r="226" spans="1:10">
      <c r="A226" s="3" t="str">
        <f>IF(Gym!A46="Ja","Gym","")</f>
        <v/>
      </c>
      <c r="B226" s="3" t="str">
        <f>IF($A226="","",Gym!B46)</f>
        <v/>
      </c>
      <c r="C226" s="3" t="str">
        <f>IF($A226="","",Gym!C46)</f>
        <v/>
      </c>
      <c r="D226" s="3" t="str">
        <f>IF($A226="","",Gym!D46)</f>
        <v/>
      </c>
      <c r="E226" s="3" t="str">
        <f>IF($A226="","",Gym!E46)</f>
        <v/>
      </c>
      <c r="F226" s="3" t="str">
        <f>IF($A226="","",Gym!F46)</f>
        <v/>
      </c>
      <c r="G226" s="15" t="str">
        <f>IF($A226="","",Gym!M46)</f>
        <v/>
      </c>
      <c r="H226" s="16" t="str">
        <f>IF($A226="","",Gym!N46)</f>
        <v/>
      </c>
      <c r="I226" s="3" t="str">
        <f>IF($A226="","",Gym!I46)</f>
        <v/>
      </c>
      <c r="J226" s="3" t="str">
        <f>IF($A226="","",Gym!O46)</f>
        <v/>
      </c>
    </row>
    <row r="227" spans="1:10">
      <c r="A227" s="3" t="str">
        <f>IF(Gym!A47="Ja","Gym","")</f>
        <v/>
      </c>
      <c r="B227" s="3" t="str">
        <f>IF($A227="","",Gym!B47)</f>
        <v/>
      </c>
      <c r="C227" s="3" t="str">
        <f>IF($A227="","",Gym!C47)</f>
        <v/>
      </c>
      <c r="D227" s="3" t="str">
        <f>IF($A227="","",Gym!D47)</f>
        <v/>
      </c>
      <c r="E227" s="3" t="str">
        <f>IF($A227="","",Gym!E47)</f>
        <v/>
      </c>
      <c r="F227" s="3" t="str">
        <f>IF($A227="","",Gym!F47)</f>
        <v/>
      </c>
      <c r="G227" s="15" t="str">
        <f>IF($A227="","",Gym!M47)</f>
        <v/>
      </c>
      <c r="H227" s="16" t="str">
        <f>IF($A227="","",Gym!N47)</f>
        <v/>
      </c>
      <c r="I227" s="3" t="str">
        <f>IF($A227="","",Gym!I47)</f>
        <v/>
      </c>
      <c r="J227" s="3" t="str">
        <f>IF($A227="","",Gym!O47)</f>
        <v/>
      </c>
    </row>
    <row r="228" spans="1:10">
      <c r="A228" s="3" t="str">
        <f>IF(Gym!A48="Ja","Gym","")</f>
        <v/>
      </c>
      <c r="B228" s="3" t="str">
        <f>IF($A228="","",Gym!B48)</f>
        <v/>
      </c>
      <c r="C228" s="3" t="str">
        <f>IF($A228="","",Gym!C48)</f>
        <v/>
      </c>
      <c r="D228" s="3" t="str">
        <f>IF($A228="","",Gym!D48)</f>
        <v/>
      </c>
      <c r="E228" s="3" t="str">
        <f>IF($A228="","",Gym!E48)</f>
        <v/>
      </c>
      <c r="F228" s="3" t="str">
        <f>IF($A228="","",Gym!F48)</f>
        <v/>
      </c>
      <c r="G228" s="15" t="str">
        <f>IF($A228="","",Gym!M48)</f>
        <v/>
      </c>
      <c r="H228" s="16" t="str">
        <f>IF($A228="","",Gym!N48)</f>
        <v/>
      </c>
      <c r="I228" s="3" t="str">
        <f>IF($A228="","",Gym!I48)</f>
        <v/>
      </c>
      <c r="J228" s="3" t="str">
        <f>IF($A228="","",Gym!O48)</f>
        <v/>
      </c>
    </row>
    <row r="229" spans="1:10">
      <c r="A229" s="3" t="str">
        <f>IF(Gym!A49="Ja","Gym","")</f>
        <v/>
      </c>
      <c r="B229" s="3" t="str">
        <f>IF($A229="","",Gym!B49)</f>
        <v/>
      </c>
      <c r="C229" s="3" t="str">
        <f>IF($A229="","",Gym!C49)</f>
        <v/>
      </c>
      <c r="D229" s="3" t="str">
        <f>IF($A229="","",Gym!D49)</f>
        <v/>
      </c>
      <c r="E229" s="3" t="str">
        <f>IF($A229="","",Gym!E49)</f>
        <v/>
      </c>
      <c r="F229" s="3" t="str">
        <f>IF($A229="","",Gym!F49)</f>
        <v/>
      </c>
      <c r="G229" s="15" t="str">
        <f>IF($A229="","",Gym!M49)</f>
        <v/>
      </c>
      <c r="H229" s="16" t="str">
        <f>IF($A229="","",Gym!N49)</f>
        <v/>
      </c>
      <c r="I229" s="3" t="str">
        <f>IF($A229="","",Gym!I49)</f>
        <v/>
      </c>
      <c r="J229" s="3" t="str">
        <f>IF($A229="","",Gym!O49)</f>
        <v/>
      </c>
    </row>
    <row r="230" spans="1:10">
      <c r="A230" s="3" t="str">
        <f>IF(Gym!A50="Ja","Gym","")</f>
        <v/>
      </c>
      <c r="B230" s="3" t="str">
        <f>IF($A230="","",Gym!B50)</f>
        <v/>
      </c>
      <c r="C230" s="3" t="str">
        <f>IF($A230="","",Gym!C50)</f>
        <v/>
      </c>
      <c r="D230" s="3" t="str">
        <f>IF($A230="","",Gym!D50)</f>
        <v/>
      </c>
      <c r="E230" s="3" t="str">
        <f>IF($A230="","",Gym!E50)</f>
        <v/>
      </c>
      <c r="F230" s="3" t="str">
        <f>IF($A230="","",Gym!F50)</f>
        <v/>
      </c>
      <c r="G230" s="15" t="str">
        <f>IF($A230="","",Gym!M50)</f>
        <v/>
      </c>
      <c r="H230" s="16" t="str">
        <f>IF($A230="","",Gym!N50)</f>
        <v/>
      </c>
      <c r="I230" s="3" t="str">
        <f>IF($A230="","",Gym!I50)</f>
        <v/>
      </c>
      <c r="J230" s="3" t="str">
        <f>IF($A230="","",Gym!O50)</f>
        <v/>
      </c>
    </row>
    <row r="231" spans="1:10">
      <c r="A231" s="3" t="str">
        <f>IF(Gym!A51="Ja","Gym","")</f>
        <v/>
      </c>
      <c r="B231" s="3" t="str">
        <f>IF($A231="","",Gym!B51)</f>
        <v/>
      </c>
      <c r="C231" s="3" t="str">
        <f>IF($A231="","",Gym!C51)</f>
        <v/>
      </c>
      <c r="D231" s="3" t="str">
        <f>IF($A231="","",Gym!D51)</f>
        <v/>
      </c>
      <c r="E231" s="3" t="str">
        <f>IF($A231="","",Gym!E51)</f>
        <v/>
      </c>
      <c r="F231" s="3" t="str">
        <f>IF($A231="","",Gym!F51)</f>
        <v/>
      </c>
      <c r="G231" s="15" t="str">
        <f>IF($A231="","",Gym!M51)</f>
        <v/>
      </c>
      <c r="H231" s="16" t="str">
        <f>IF($A231="","",Gym!N51)</f>
        <v/>
      </c>
      <c r="I231" s="3" t="str">
        <f>IF($A231="","",Gym!I51)</f>
        <v/>
      </c>
      <c r="J231" s="3" t="str">
        <f>IF($A231="","",Gym!O51)</f>
        <v/>
      </c>
    </row>
    <row r="232" spans="1:10">
      <c r="A232" t="s">
        <v>18</v>
      </c>
      <c r="B232" t="s">
        <v>468</v>
      </c>
      <c r="C232" t="s">
        <v>114</v>
      </c>
      <c r="D232" t="s">
        <v>469</v>
      </c>
      <c r="E232" t="s">
        <v>234</v>
      </c>
      <c r="F232" t="s">
        <v>470</v>
      </c>
      <c r="G232">
        <v>0.25</v>
      </c>
      <c r="H232">
        <v>0.35</v>
      </c>
      <c r="I232" t="s">
        <v>85</v>
      </c>
      <c r="J232" t="s">
        <v>471</v>
      </c>
    </row>
    <row r="233" spans="1:10">
      <c r="A233" t="s">
        <v>18</v>
      </c>
      <c r="B233" t="s">
        <v>468</v>
      </c>
      <c r="C233" t="s">
        <v>239</v>
      </c>
      <c r="D233" t="s">
        <v>472</v>
      </c>
      <c r="E233" t="s">
        <v>234</v>
      </c>
      <c r="F233" t="s">
        <v>470</v>
      </c>
      <c r="G233">
        <v>1</v>
      </c>
      <c r="H233">
        <v>1</v>
      </c>
      <c r="I233" t="s">
        <v>85</v>
      </c>
      <c r="J233" t="s">
        <v>473</v>
      </c>
    </row>
    <row r="234" spans="1:10">
      <c r="A234" t="s">
        <v>18</v>
      </c>
      <c r="B234" t="s">
        <v>468</v>
      </c>
      <c r="C234" t="s">
        <v>149</v>
      </c>
      <c r="D234" t="s">
        <v>474</v>
      </c>
      <c r="E234" t="s">
        <v>234</v>
      </c>
      <c r="F234" t="s">
        <v>470</v>
      </c>
      <c r="G234">
        <v>0.55000000000000004</v>
      </c>
      <c r="H234">
        <v>0.65</v>
      </c>
      <c r="I234" t="s">
        <v>85</v>
      </c>
      <c r="J234" t="s">
        <v>475</v>
      </c>
    </row>
    <row r="235" spans="1:10">
      <c r="A235" t="s">
        <v>18</v>
      </c>
      <c r="B235" t="s">
        <v>468</v>
      </c>
      <c r="C235" t="s">
        <v>242</v>
      </c>
      <c r="D235" t="s">
        <v>476</v>
      </c>
      <c r="E235" t="s">
        <v>234</v>
      </c>
      <c r="F235" t="s">
        <v>470</v>
      </c>
      <c r="G235">
        <v>1.25</v>
      </c>
      <c r="H235">
        <v>1.2</v>
      </c>
      <c r="I235" t="s">
        <v>85</v>
      </c>
      <c r="J235" t="s">
        <v>477</v>
      </c>
    </row>
    <row r="236" spans="1:10">
      <c r="A236" t="s">
        <v>18</v>
      </c>
      <c r="B236" t="s">
        <v>478</v>
      </c>
      <c r="C236" t="s">
        <v>114</v>
      </c>
      <c r="D236" t="s">
        <v>479</v>
      </c>
      <c r="E236" t="s">
        <v>480</v>
      </c>
      <c r="F236" t="s">
        <v>481</v>
      </c>
      <c r="G236">
        <v>0</v>
      </c>
      <c r="H236">
        <v>0</v>
      </c>
      <c r="I236" t="s">
        <v>85</v>
      </c>
      <c r="J236" t="s">
        <v>482</v>
      </c>
    </row>
    <row r="237" spans="1:10">
      <c r="A237" t="s">
        <v>18</v>
      </c>
      <c r="B237" t="s">
        <v>478</v>
      </c>
      <c r="C237" t="s">
        <v>248</v>
      </c>
      <c r="D237" t="s">
        <v>483</v>
      </c>
      <c r="E237" t="s">
        <v>484</v>
      </c>
      <c r="F237" t="s">
        <v>481</v>
      </c>
      <c r="G237">
        <v>58000</v>
      </c>
      <c r="H237">
        <v>0</v>
      </c>
      <c r="I237" t="s">
        <v>85</v>
      </c>
      <c r="J237" t="s">
        <v>485</v>
      </c>
    </row>
    <row r="238" spans="1:10">
      <c r="A238" t="s">
        <v>18</v>
      </c>
      <c r="B238" t="s">
        <v>478</v>
      </c>
      <c r="C238" t="s">
        <v>250</v>
      </c>
      <c r="D238" t="s">
        <v>486</v>
      </c>
      <c r="E238" t="s">
        <v>487</v>
      </c>
      <c r="F238" t="s">
        <v>481</v>
      </c>
      <c r="G238">
        <v>41000</v>
      </c>
      <c r="H238">
        <v>0</v>
      </c>
      <c r="I238" t="s">
        <v>85</v>
      </c>
      <c r="J238" t="s">
        <v>488</v>
      </c>
    </row>
    <row r="239" spans="1:10">
      <c r="A239" t="s">
        <v>18</v>
      </c>
      <c r="B239" t="s">
        <v>478</v>
      </c>
      <c r="C239" t="s">
        <v>252</v>
      </c>
      <c r="D239" t="s">
        <v>489</v>
      </c>
      <c r="E239" t="s">
        <v>490</v>
      </c>
      <c r="F239" t="s">
        <v>481</v>
      </c>
      <c r="G239">
        <v>34000</v>
      </c>
      <c r="H239">
        <v>0</v>
      </c>
      <c r="I239" t="s">
        <v>85</v>
      </c>
      <c r="J239" t="s">
        <v>491</v>
      </c>
    </row>
    <row r="240" spans="1:10">
      <c r="A240" t="s">
        <v>18</v>
      </c>
      <c r="B240" t="s">
        <v>478</v>
      </c>
      <c r="C240" t="s">
        <v>202</v>
      </c>
      <c r="D240" t="s">
        <v>492</v>
      </c>
      <c r="E240" t="s">
        <v>493</v>
      </c>
      <c r="F240" t="s">
        <v>145</v>
      </c>
      <c r="G240">
        <v>0</v>
      </c>
      <c r="H240">
        <v>0</v>
      </c>
      <c r="I240" t="s">
        <v>46</v>
      </c>
      <c r="J240" t="s">
        <v>494</v>
      </c>
    </row>
    <row r="241" spans="1:10">
      <c r="A241" t="s">
        <v>21</v>
      </c>
      <c r="B241" t="s">
        <v>300</v>
      </c>
      <c r="C241" t="s">
        <v>114</v>
      </c>
      <c r="D241" t="s">
        <v>495</v>
      </c>
      <c r="E241" t="s">
        <v>496</v>
      </c>
      <c r="F241" t="s">
        <v>84</v>
      </c>
      <c r="G241">
        <v>0</v>
      </c>
      <c r="H241">
        <v>0</v>
      </c>
      <c r="I241" t="s">
        <v>85</v>
      </c>
      <c r="J241" t="s">
        <v>497</v>
      </c>
    </row>
    <row r="242" spans="1:10">
      <c r="A242" t="s">
        <v>21</v>
      </c>
      <c r="B242" t="s">
        <v>100</v>
      </c>
      <c r="C242" t="s">
        <v>114</v>
      </c>
      <c r="D242" t="s">
        <v>157</v>
      </c>
      <c r="E242" t="s">
        <v>158</v>
      </c>
      <c r="F242" t="s">
        <v>84</v>
      </c>
      <c r="G242">
        <v>0</v>
      </c>
      <c r="H242">
        <v>0</v>
      </c>
      <c r="I242" t="s">
        <v>85</v>
      </c>
      <c r="J242" t="s">
        <v>497</v>
      </c>
    </row>
    <row r="243" spans="1:10">
      <c r="A243" t="s">
        <v>24</v>
      </c>
      <c r="B243" t="s">
        <v>300</v>
      </c>
      <c r="C243" t="s">
        <v>114</v>
      </c>
      <c r="D243" t="s">
        <v>495</v>
      </c>
      <c r="E243" t="s">
        <v>496</v>
      </c>
      <c r="F243" t="s">
        <v>84</v>
      </c>
      <c r="G243">
        <v>0</v>
      </c>
      <c r="H243">
        <v>0</v>
      </c>
      <c r="I243" t="s">
        <v>85</v>
      </c>
      <c r="J243" t="s">
        <v>497</v>
      </c>
    </row>
    <row r="244" spans="1:10">
      <c r="A244" t="s">
        <v>25</v>
      </c>
      <c r="B244" t="s">
        <v>318</v>
      </c>
      <c r="C244" t="s">
        <v>114</v>
      </c>
      <c r="D244" t="s">
        <v>498</v>
      </c>
      <c r="E244" t="s">
        <v>429</v>
      </c>
      <c r="F244" t="s">
        <v>84</v>
      </c>
      <c r="G244">
        <v>0</v>
      </c>
      <c r="H244">
        <v>0</v>
      </c>
      <c r="I244" t="s">
        <v>85</v>
      </c>
      <c r="J244" t="s">
        <v>497</v>
      </c>
    </row>
    <row r="245" spans="1:10">
      <c r="A245" t="s">
        <v>25</v>
      </c>
      <c r="B245" t="s">
        <v>416</v>
      </c>
      <c r="C245" t="s">
        <v>114</v>
      </c>
      <c r="D245" t="s">
        <v>499</v>
      </c>
      <c r="E245" t="s">
        <v>434</v>
      </c>
      <c r="F245" t="s">
        <v>84</v>
      </c>
      <c r="G245">
        <v>0</v>
      </c>
      <c r="H245">
        <v>0</v>
      </c>
      <c r="I245" t="s">
        <v>85</v>
      </c>
      <c r="J245" t="s">
        <v>497</v>
      </c>
    </row>
    <row r="246" spans="1:10">
      <c r="A246" t="s">
        <v>26</v>
      </c>
      <c r="B246" t="s">
        <v>451</v>
      </c>
      <c r="C246" t="s">
        <v>114</v>
      </c>
      <c r="D246" t="s">
        <v>500</v>
      </c>
      <c r="E246" t="s">
        <v>452</v>
      </c>
      <c r="F246" t="s">
        <v>84</v>
      </c>
      <c r="G246">
        <v>0</v>
      </c>
      <c r="H246">
        <v>0</v>
      </c>
      <c r="I246" t="s">
        <v>85</v>
      </c>
      <c r="J246" t="s">
        <v>497</v>
      </c>
    </row>
    <row r="247" spans="1:10">
      <c r="A247" t="s">
        <v>26</v>
      </c>
      <c r="B247" t="s">
        <v>318</v>
      </c>
      <c r="C247" t="s">
        <v>114</v>
      </c>
      <c r="D247" t="s">
        <v>498</v>
      </c>
      <c r="E247" t="s">
        <v>320</v>
      </c>
      <c r="F247" t="s">
        <v>84</v>
      </c>
      <c r="G247">
        <v>0</v>
      </c>
      <c r="H247">
        <v>0</v>
      </c>
      <c r="I247" t="s">
        <v>85</v>
      </c>
      <c r="J247" t="s">
        <v>497</v>
      </c>
    </row>
    <row r="248" spans="1:10">
      <c r="A248" t="s">
        <v>26</v>
      </c>
      <c r="B248" t="s">
        <v>461</v>
      </c>
      <c r="C248" t="s">
        <v>114</v>
      </c>
      <c r="D248" t="s">
        <v>501</v>
      </c>
      <c r="E248" t="s">
        <v>462</v>
      </c>
      <c r="F248" t="s">
        <v>84</v>
      </c>
      <c r="G248">
        <v>0</v>
      </c>
      <c r="H248">
        <v>0</v>
      </c>
      <c r="I248" t="s">
        <v>85</v>
      </c>
      <c r="J248" t="s">
        <v>497</v>
      </c>
    </row>
  </sheetData>
  <mergeCells count="2">
    <mergeCell ref="A1:J2"/>
    <mergeCell ref="A3:J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8</vt:i4>
      </vt:variant>
    </vt:vector>
  </HeadingPairs>
  <TitlesOfParts>
    <vt:vector size="8" baseType="lpstr">
      <vt:lpstr>Start</vt:lpstr>
      <vt:lpstr>Inställningar</vt:lpstr>
      <vt:lpstr>Sporthall</vt:lpstr>
      <vt:lpstr>Simhall</vt:lpstr>
      <vt:lpstr>Konferens</vt:lpstr>
      <vt:lpstr>Restaurang</vt:lpstr>
      <vt:lpstr>Gym</vt:lpstr>
      <vt:lpstr>Webbexport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Andreas Högberg</cp:lastModifiedBy>
  <dcterms:modified xsi:type="dcterms:W3CDTF">2026-08-14T14:39:30Z</dcterms:modified>
</cp:coreProperties>
</file>